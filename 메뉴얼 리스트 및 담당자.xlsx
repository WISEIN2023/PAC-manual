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피재석\Desktop\WiseinSoft\솔루션\메뉴얼\"/>
    </mc:Choice>
  </mc:AlternateContent>
  <xr:revisionPtr revIDLastSave="0" documentId="13_ncr:1_{6EEF6F66-EF4F-42E5-8BEF-4A648D59B01F}" xr6:coauthVersionLast="47" xr6:coauthVersionMax="47" xr10:uidLastSave="{00000000-0000-0000-0000-000000000000}"/>
  <bookViews>
    <workbookView xWindow="-108" yWindow="-108" windowWidth="23256" windowHeight="12456" xr2:uid="{CE3093FE-EA37-4162-AA33-4D64CEBB183C}"/>
  </bookViews>
  <sheets>
    <sheet name="List" sheetId="1" r:id="rId1"/>
    <sheet name="구분" sheetId="3" r:id="rId2"/>
    <sheet name="Program list" sheetId="2" r:id="rId3"/>
    <sheet name="담당자" sheetId="4" state="hidden" r:id="rId4"/>
  </sheets>
  <definedNames>
    <definedName name="_xlnm._FilterDatabase" localSheetId="0" hidden="1">List!$B$2:$M$125</definedName>
    <definedName name="_xlnm._FilterDatabase" localSheetId="2" hidden="1">'Program list'!$B$2:$D$132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3" i="1"/>
  <c r="M7" i="1" l="1"/>
  <c r="J7" i="1"/>
  <c r="K4" i="1"/>
  <c r="K6" i="1"/>
  <c r="K3" i="1"/>
  <c r="K5" i="1"/>
  <c r="K7" i="1"/>
  <c r="I3" i="1"/>
  <c r="L3" i="1"/>
  <c r="I4" i="1"/>
  <c r="L4" i="1"/>
  <c r="I5" i="1"/>
  <c r="L5" i="1"/>
  <c r="I7" i="1"/>
  <c r="L7" i="1"/>
  <c r="M3" i="1"/>
  <c r="M4" i="1"/>
  <c r="L6" i="1"/>
  <c r="M5" i="1"/>
  <c r="J5" i="1"/>
  <c r="M6" i="1"/>
  <c r="I6" i="1"/>
  <c r="J3" i="1"/>
  <c r="J4" i="1"/>
  <c r="J6" i="1"/>
  <c r="L8" i="1" l="1"/>
  <c r="M8" i="1"/>
  <c r="I8" i="1"/>
  <c r="J8" i="1"/>
  <c r="K8" i="1"/>
</calcChain>
</file>

<file path=xl/sharedStrings.xml><?xml version="1.0" encoding="utf-8"?>
<sst xmlns="http://schemas.openxmlformats.org/spreadsheetml/2006/main" count="1133" uniqueCount="330">
  <si>
    <t>순서</t>
    <phoneticPr fontId="1" type="noConversion"/>
  </si>
  <si>
    <t>구분</t>
    <phoneticPr fontId="1" type="noConversion"/>
  </si>
  <si>
    <t>딤딩자</t>
    <phoneticPr fontId="1" type="noConversion"/>
  </si>
  <si>
    <t>Config </t>
    <phoneticPr fontId="1" type="noConversion"/>
  </si>
  <si>
    <t>피재석</t>
    <phoneticPr fontId="1" type="noConversion"/>
  </si>
  <si>
    <t>Org Mst </t>
    <phoneticPr fontId="1" type="noConversion"/>
  </si>
  <si>
    <t>김다은</t>
    <phoneticPr fontId="1" type="noConversion"/>
  </si>
  <si>
    <t>정유림</t>
    <phoneticPr fontId="1" type="noConversion"/>
  </si>
  <si>
    <t>정일환</t>
    <phoneticPr fontId="1" type="noConversion"/>
  </si>
  <si>
    <t>JOB</t>
    <phoneticPr fontId="1" type="noConversion"/>
  </si>
  <si>
    <t>Monitor</t>
    <phoneticPr fontId="1" type="noConversion"/>
  </si>
  <si>
    <t>ALV</t>
    <phoneticPr fontId="1" type="noConversion"/>
  </si>
  <si>
    <t>정혜란</t>
    <phoneticPr fontId="1" type="noConversion"/>
  </si>
  <si>
    <t>Todo</t>
  </si>
  <si>
    <t>Todo</t>
    <phoneticPr fontId="1" type="noConversion"/>
  </si>
  <si>
    <t>ZLPAC0010</t>
  </si>
  <si>
    <t>Maintain Business Package Config</t>
  </si>
  <si>
    <t>ZLPAC0011</t>
  </si>
  <si>
    <t>Define Business Package</t>
  </si>
  <si>
    <t>ZLPAC0013</t>
  </si>
  <si>
    <t>Define Business Type</t>
  </si>
  <si>
    <t>ZLPAC0014</t>
  </si>
  <si>
    <t>Define Node Theme Setting</t>
  </si>
  <si>
    <t>ZLPAC0015</t>
  </si>
  <si>
    <t>Define Function Code</t>
  </si>
  <si>
    <t>ZLPAC0016</t>
  </si>
  <si>
    <t>Log Collect Exception message ID</t>
  </si>
  <si>
    <t>ZLPAC0017</t>
  </si>
  <si>
    <t>Define Business Type By Company Code</t>
  </si>
  <si>
    <t>ZLPAC0018</t>
  </si>
  <si>
    <t>Maintain Company Code Master</t>
  </si>
  <si>
    <t>ZLPAC0019</t>
  </si>
  <si>
    <t>Maintain Business Area Master</t>
  </si>
  <si>
    <t>ZLPAC0020</t>
  </si>
  <si>
    <t>Define Activity Master</t>
  </si>
  <si>
    <t>ZLPAC0021</t>
  </si>
  <si>
    <t>Display Detail Activity Information</t>
  </si>
  <si>
    <t>ZLPAC0030</t>
  </si>
  <si>
    <t>Maintain Standard Map</t>
  </si>
  <si>
    <t>ZLPAC0031</t>
  </si>
  <si>
    <t>Maintain Global. Pkg Standard Map</t>
  </si>
  <si>
    <t>ZLPAC0040</t>
  </si>
  <si>
    <t>Maintain Organization Map</t>
  </si>
  <si>
    <t>ZLPAC0041</t>
  </si>
  <si>
    <t>Maintain Global Pkg Organization Map</t>
  </si>
  <si>
    <t>ZLPAC0050</t>
  </si>
  <si>
    <t>Assign Organization to Bus. Package</t>
  </si>
  <si>
    <t>ZLPAC0060</t>
  </si>
  <si>
    <t>Notice Management </t>
  </si>
  <si>
    <t>ZLPAC0070</t>
  </si>
  <si>
    <t>Define Trigger Code</t>
  </si>
  <si>
    <t>ZLPAC0071</t>
  </si>
  <si>
    <t>Define Locking Role</t>
  </si>
  <si>
    <t>ZLPAC0072</t>
  </si>
  <si>
    <t>Define Common Log Parameter</t>
  </si>
  <si>
    <t>ZLPAC0074</t>
  </si>
  <si>
    <t>Define Posted Doc Message</t>
  </si>
  <si>
    <t>ZLPAC0080</t>
  </si>
  <si>
    <t>Define Confirm(Skip) Enable Activity</t>
  </si>
  <si>
    <t>ZLPAC0090</t>
  </si>
  <si>
    <t>Master Configuration</t>
  </si>
  <si>
    <t>ZLPAC0091</t>
  </si>
  <si>
    <t>Maintain Region Master</t>
  </si>
  <si>
    <t>ZLPAC0092</t>
  </si>
  <si>
    <t>Maintain Country Master</t>
  </si>
  <si>
    <t>ZLPAC0093</t>
  </si>
  <si>
    <t>Maintain Company Group Master</t>
  </si>
  <si>
    <t>ZLPAC0100</t>
  </si>
  <si>
    <t>Execute PID in Process Group</t>
  </si>
  <si>
    <t>ZLPAC0101</t>
  </si>
  <si>
    <t>Execute Main PAC Processor By Background</t>
  </si>
  <si>
    <t>ZLPAC0110</t>
  </si>
  <si>
    <t>Execute PAC By Company</t>
  </si>
  <si>
    <t>ZLPAC0111</t>
  </si>
  <si>
    <t>Auto Confirm Closing Schedule</t>
  </si>
  <si>
    <t>ZLPAC0120</t>
  </si>
  <si>
    <t>Execute Map</t>
  </si>
  <si>
    <t>ZLPAC0130</t>
  </si>
  <si>
    <t>Function Report</t>
  </si>
  <si>
    <t>ZLPAC0140</t>
  </si>
  <si>
    <t>Display Modeling List</t>
  </si>
  <si>
    <t>ZLPAC0150</t>
  </si>
  <si>
    <t>Create Rework Batch Job By Organization</t>
  </si>
  <si>
    <t>ZLPAC0160</t>
  </si>
  <si>
    <t>Display Log History</t>
  </si>
  <si>
    <t>ZLPAC0170</t>
  </si>
  <si>
    <t>Monthly Final Closing Management</t>
  </si>
  <si>
    <t>ZLPAC0200</t>
  </si>
  <si>
    <t>Define Other Organization</t>
  </si>
  <si>
    <t>ZLPAC0400</t>
  </si>
  <si>
    <t>Define Error Help</t>
  </si>
  <si>
    <t>ZLPAC0500</t>
  </si>
  <si>
    <t>Define Job Schedule</t>
  </si>
  <si>
    <t>ZLPAC0510</t>
  </si>
  <si>
    <t>Monitoring By Job Schedule</t>
  </si>
  <si>
    <t>ZLPAC0520</t>
  </si>
  <si>
    <t>Maintain Monthly Job Schedule By Org</t>
  </si>
  <si>
    <t>ZLPAC0521</t>
  </si>
  <si>
    <t>Execute to Send Manual Activity</t>
  </si>
  <si>
    <t>ZLPAC0530</t>
  </si>
  <si>
    <t>Display Job Schedule History</t>
  </si>
  <si>
    <t>ZLPAC0540</t>
  </si>
  <si>
    <t>Execute Schedule Job by Background</t>
  </si>
  <si>
    <t>ZLPAC0600</t>
  </si>
  <si>
    <t>Display To Do</t>
  </si>
  <si>
    <t>ZLPAC1000</t>
  </si>
  <si>
    <t>Maintain Activity Participants</t>
  </si>
  <si>
    <t>ZLPAC1001</t>
  </si>
  <si>
    <t>Copy Business Area for User Role</t>
  </si>
  <si>
    <t>ZLPAC1010</t>
  </si>
  <si>
    <t>Display User Authorization</t>
  </si>
  <si>
    <t>ZLPAC1011</t>
  </si>
  <si>
    <t>Closing Activity Participants</t>
  </si>
  <si>
    <t>ZLPAC1020</t>
  </si>
  <si>
    <t>Display Closing Activity Participants History</t>
  </si>
  <si>
    <t>ZLPAC1030</t>
  </si>
  <si>
    <t>Define Authorization Group</t>
  </si>
  <si>
    <t>ZLPAC1050</t>
  </si>
  <si>
    <t>Maintain Special Role</t>
  </si>
  <si>
    <t>ZLPAC2100</t>
  </si>
  <si>
    <t>Issue Management</t>
  </si>
  <si>
    <t>ZLPAC3000</t>
  </si>
  <si>
    <t>Define Rework Rule ID</t>
  </si>
  <si>
    <t>ZLPAC3010</t>
  </si>
  <si>
    <t>Maintain Re-work Rule ID</t>
  </si>
  <si>
    <t>ZLPAC3020</t>
  </si>
  <si>
    <t>Define Re-work Exception Rule</t>
  </si>
  <si>
    <t>ZLPAC5050</t>
  </si>
  <si>
    <t>Define Closing Inspection Category</t>
  </si>
  <si>
    <t>ZLPAC5060</t>
  </si>
  <si>
    <t>Maintain Closing Inspection Scenario</t>
  </si>
  <si>
    <t>ZLPAC5070</t>
  </si>
  <si>
    <t>Maintain Simulation Error Control</t>
  </si>
  <si>
    <t>ZLPAC5080</t>
  </si>
  <si>
    <t>Maintain Closing Inspection Reviewer</t>
  </si>
  <si>
    <t>ZLPAC5090</t>
  </si>
  <si>
    <t>Display Closing Inspection Reviewer</t>
  </si>
  <si>
    <t>ZLPAC5100</t>
  </si>
  <si>
    <t>Financial Risk Validation Monitoring</t>
  </si>
  <si>
    <t>ZLPAC5110</t>
  </si>
  <si>
    <t>Auto Execution Closing Inspection Category by Reviewer</t>
  </si>
  <si>
    <t>ZLPAC5111</t>
  </si>
  <si>
    <t>Auto Execution for Closing Inspection Reviewer By Scenario</t>
  </si>
  <si>
    <t>ZLPAC5200</t>
  </si>
  <si>
    <t>Closing Inspection Monitoring</t>
  </si>
  <si>
    <t>ZLPAC5210</t>
  </si>
  <si>
    <t>Auto Execution for Closing Inspection By Category</t>
  </si>
  <si>
    <t>ZLPAC5211</t>
  </si>
  <si>
    <t>Auto Execution for Closing Inspection By Scenario</t>
  </si>
  <si>
    <t>ZLPAC5300</t>
  </si>
  <si>
    <t>Closing Inspection Simul.Run Monitor</t>
  </si>
  <si>
    <t>ZLPAC5310</t>
  </si>
  <si>
    <t>Auto Execution for Simulation Run</t>
  </si>
  <si>
    <t>ZLPAC7000</t>
  </si>
  <si>
    <t>Maintain Closing Schedule Config</t>
  </si>
  <si>
    <t>ZLPAC7010</t>
  </si>
  <si>
    <t>Define Schedule ID</t>
  </si>
  <si>
    <t>ZLPAC7011</t>
  </si>
  <si>
    <t>Define Calendar ID-&gt;Define Schedule ID</t>
  </si>
  <si>
    <t>ZLPAC7020</t>
  </si>
  <si>
    <t>Assign Schedule to Organization</t>
  </si>
  <si>
    <t>ZLPAC7021</t>
  </si>
  <si>
    <t>Assign Schedule to Organization</t>
  </si>
  <si>
    <t>ZLPAC7030</t>
  </si>
  <si>
    <t>Monthly Closing Calendar control</t>
  </si>
  <si>
    <t>ZLPAC7100</t>
  </si>
  <si>
    <t>Distribute Closing Schedule</t>
  </si>
  <si>
    <t>ZLPAC7110</t>
  </si>
  <si>
    <t>Closing Schedule Plan Distribution</t>
  </si>
  <si>
    <t>ZLPAC7111</t>
  </si>
  <si>
    <t>SYNC Batch Job</t>
  </si>
  <si>
    <t>ZLPAC7120</t>
  </si>
  <si>
    <t>Simulate Closing Schedule</t>
  </si>
  <si>
    <t>ZLPAC7140</t>
  </si>
  <si>
    <t>Display Closing Sch Change History</t>
  </si>
  <si>
    <t>ZLPAC7160</t>
  </si>
  <si>
    <t>Posting Super User Registration</t>
  </si>
  <si>
    <t>ZLPAC7170</t>
  </si>
  <si>
    <t>Change Closing Schedule</t>
  </si>
  <si>
    <t>ZLPAC7180</t>
  </si>
  <si>
    <t>Change Closing Schedule Detail</t>
  </si>
  <si>
    <t>ZLPAC7190</t>
  </si>
  <si>
    <t>Overdue Closing Check</t>
    <phoneticPr fontId="1" type="noConversion"/>
  </si>
  <si>
    <t>ZLPAC7191</t>
  </si>
  <si>
    <t>Rework All Closing Check</t>
    <phoneticPr fontId="1" type="noConversion"/>
  </si>
  <si>
    <t>ZLPAC7192</t>
  </si>
  <si>
    <r>
      <t>Sync Status </t>
    </r>
    <r>
      <rPr>
        <sz val="10"/>
        <color theme="1"/>
        <rFont val="Courier New"/>
        <family val="3"/>
      </rPr>
      <t>when PID master changed</t>
    </r>
  </si>
  <si>
    <t>ZLPAC7193</t>
  </si>
  <si>
    <r>
      <t>Sync Status </t>
    </r>
    <r>
      <rPr>
        <sz val="10"/>
        <color theme="1"/>
        <rFont val="Courier New"/>
        <family val="3"/>
      </rPr>
      <t>when Activity Group Move</t>
    </r>
  </si>
  <si>
    <t>ZLPAC7194</t>
  </si>
  <si>
    <r>
      <t>Schedule </t>
    </r>
    <r>
      <rPr>
        <sz val="10"/>
        <color theme="1"/>
        <rFont val="Courier New"/>
        <family val="3"/>
      </rPr>
      <t>Interface Batch Job</t>
    </r>
  </si>
  <si>
    <t>ZLPAC7200</t>
  </si>
  <si>
    <t>Set Closing Schedule Alarm</t>
  </si>
  <si>
    <t>ZLPAC7210</t>
  </si>
  <si>
    <t>Closing Schedule Alarm Mailing</t>
  </si>
  <si>
    <t>ZLPAC7300</t>
  </si>
  <si>
    <r>
      <t>Standard Next </t>
    </r>
    <r>
      <rPr>
        <sz val="10"/>
        <color theme="1"/>
        <rFont val="Courier New"/>
        <family val="3"/>
      </rPr>
      <t>Period Auto Open</t>
    </r>
  </si>
  <si>
    <t>ZLPAC8010</t>
  </si>
  <si>
    <t>Define Global Package ID</t>
  </si>
  <si>
    <t>ZLPAC8011</t>
  </si>
  <si>
    <t>Assign Business Pkg to Global ID</t>
  </si>
  <si>
    <t>ZLPAC8030</t>
  </si>
  <si>
    <t>Define Activity Grouping in Glob.Map</t>
  </si>
  <si>
    <t>ZLPAC8040</t>
  </si>
  <si>
    <t>Define Global Package Link</t>
  </si>
  <si>
    <t>ZLPAC8100</t>
  </si>
  <si>
    <t>Maintain Monitoring Version</t>
  </si>
  <si>
    <t>ZLPAC8110</t>
  </si>
  <si>
    <t>Assign Monitoring Version to Company</t>
  </si>
  <si>
    <t>ZLPAC8120</t>
  </si>
  <si>
    <t>Modeling Monitoring Company Map</t>
  </si>
  <si>
    <t>ZLPAC8121</t>
  </si>
  <si>
    <t>Modeling Company Level Standard Map</t>
  </si>
  <si>
    <t>ZLPAC8122</t>
  </si>
  <si>
    <t>Modeling Company Level Org Map</t>
  </si>
  <si>
    <t>ZLPAC9010</t>
  </si>
  <si>
    <t>PAC PID File Attachment</t>
  </si>
  <si>
    <t>ZLPACALVDEF</t>
  </si>
  <si>
    <t>Maintain Default ALV Field Catalog</t>
  </si>
  <si>
    <t>ZLPACEXIT</t>
  </si>
  <si>
    <t>Maintain PAC User Exit</t>
  </si>
  <si>
    <t>ZLPACJOBS</t>
  </si>
  <si>
    <t>Batch Job Monitoring(Running Proc)</t>
  </si>
  <si>
    <t>ZLPACMIG010</t>
  </si>
  <si>
    <t>TABLE Data Upload/Downlo</t>
  </si>
  <si>
    <t>ZLPACMIG020</t>
  </si>
  <si>
    <t>Transport Table Data</t>
  </si>
  <si>
    <t>ZLPACMIG030</t>
  </si>
  <si>
    <t>Migration Data for DBO Table</t>
  </si>
  <si>
    <t>ZLPACMIG040</t>
  </si>
  <si>
    <t>Migration Data for Multi Table</t>
  </si>
  <si>
    <t>ZLPACMIG050</t>
  </si>
  <si>
    <t>Migration Data for Busin</t>
  </si>
  <si>
    <t>ZLPACSTATUSM</t>
  </si>
  <si>
    <t>Status Management for Admin</t>
  </si>
  <si>
    <t>ZLPACSYS</t>
  </si>
  <si>
    <t>PAC System Setting</t>
  </si>
  <si>
    <t>ZLPACTODOS</t>
  </si>
  <si>
    <t>To Do Abnormal Monitoring</t>
  </si>
  <si>
    <t>ZLPAC_ALV</t>
  </si>
  <si>
    <t>ALV Manager</t>
  </si>
  <si>
    <t>ZLPAC_ALV_CTS</t>
  </si>
  <si>
    <t>ALV transport</t>
  </si>
  <si>
    <t>ZLPAC_AUTOLOG</t>
  </si>
  <si>
    <t>Auto Logging</t>
  </si>
  <si>
    <t>ZLPAC_CRYPTO</t>
  </si>
  <si>
    <t>PAC Obfuscation</t>
  </si>
  <si>
    <t>ZLPAC_FIORI_FUNC</t>
  </si>
  <si>
    <t>Function Execute for Fiori</t>
  </si>
  <si>
    <t>ZLPAC_FTCODE</t>
  </si>
  <si>
    <t>Call TCODE from fiori</t>
  </si>
  <si>
    <t>ZLPAC_FTCODE_SNID</t>
  </si>
  <si>
    <t>Call SAP Transaction for Scenario</t>
  </si>
  <si>
    <t>ZLPAC_HTML</t>
  </si>
  <si>
    <t>PAC HTML Manager</t>
  </si>
  <si>
    <t>ZLPAC_MONITOR_ACT</t>
  </si>
  <si>
    <t>Monitoring by Activity</t>
  </si>
  <si>
    <t>ZLPAC_MONITOR_BUPAK</t>
  </si>
  <si>
    <t>Monitoring by Business Package</t>
  </si>
  <si>
    <t>ZLPAC_MONITOR_COM</t>
  </si>
  <si>
    <t>Monitoring by Company Code</t>
  </si>
  <si>
    <t>ZLPAC_MONITOR_GPID</t>
  </si>
  <si>
    <t>Subsidiary Closing Monitoring</t>
  </si>
  <si>
    <t>ZLPAC_OVERTIME_PID</t>
  </si>
  <si>
    <t>Activity OverTime Monitoring</t>
  </si>
  <si>
    <t>ZLPAC_TREE</t>
  </si>
  <si>
    <t>Maintain Menu Tree</t>
  </si>
  <si>
    <t>ZLPAC_TRID</t>
  </si>
  <si>
    <t>Define Menu Tree ID</t>
  </si>
  <si>
    <t>ZLPAC_WIZ1000</t>
  </si>
  <si>
    <t>PAC Logging Inspection</t>
  </si>
  <si>
    <t>ZLPAC_WIZARD</t>
  </si>
  <si>
    <t>PAC Logging Wizard</t>
  </si>
  <si>
    <t>ZLPACALV_EVTDEF</t>
  </si>
  <si>
    <t>Maintain Default Field Event</t>
  </si>
  <si>
    <t>Program Id</t>
  </si>
  <si>
    <t>Program Id</t>
    <phoneticPr fontId="1" type="noConversion"/>
  </si>
  <si>
    <t>Text</t>
  </si>
  <si>
    <t>Text</t>
    <phoneticPr fontId="1" type="noConversion"/>
  </si>
  <si>
    <t>Fiori</t>
  </si>
  <si>
    <t>Activity Master</t>
  </si>
  <si>
    <t>Modeling</t>
  </si>
  <si>
    <t>FIORI</t>
  </si>
  <si>
    <t>Monitor</t>
  </si>
  <si>
    <t>JOB</t>
  </si>
  <si>
    <t>todo</t>
  </si>
  <si>
    <t>Config</t>
  </si>
  <si>
    <t>ALV</t>
  </si>
  <si>
    <t>job</t>
  </si>
  <si>
    <t>Modeling</t>
    <phoneticPr fontId="1" type="noConversion"/>
  </si>
  <si>
    <t>Config</t>
    <phoneticPr fontId="1" type="noConversion"/>
  </si>
  <si>
    <t>Org Mst</t>
  </si>
  <si>
    <t>Schedule</t>
  </si>
  <si>
    <t>Closing Inspection</t>
  </si>
  <si>
    <t>Auth</t>
  </si>
  <si>
    <t>Operation</t>
  </si>
  <si>
    <t>Fiori &amp; SEGW</t>
  </si>
  <si>
    <t>ETC</t>
  </si>
  <si>
    <t>ETC</t>
    <phoneticPr fontId="1" type="noConversion"/>
  </si>
  <si>
    <t>행 레이블</t>
  </si>
  <si>
    <t>Config </t>
  </si>
  <si>
    <t>Org Mst </t>
  </si>
  <si>
    <t>총합계</t>
  </si>
  <si>
    <t>Overdue Closing Check</t>
  </si>
  <si>
    <t>Rework All Closing Check</t>
  </si>
  <si>
    <t>Schedule Interface Batch Job</t>
  </si>
  <si>
    <t>Standard Next Period Auto Open</t>
  </si>
  <si>
    <t>Sync Status when Activity Group Move</t>
  </si>
  <si>
    <t>Sync Status when PID master changed</t>
  </si>
  <si>
    <t>프로그램 ID</t>
    <phoneticPr fontId="1" type="noConversion"/>
  </si>
  <si>
    <t>프로그램 명</t>
    <phoneticPr fontId="1" type="noConversion"/>
  </si>
  <si>
    <t>담당자</t>
    <phoneticPr fontId="1" type="noConversion"/>
  </si>
  <si>
    <t>Auth</t>
    <phoneticPr fontId="1" type="noConversion"/>
  </si>
  <si>
    <t>Org Mst</t>
    <phoneticPr fontId="1" type="noConversion"/>
  </si>
  <si>
    <t>피재석</t>
  </si>
  <si>
    <t>정일환</t>
  </si>
  <si>
    <t>정유림</t>
  </si>
  <si>
    <t>김다은</t>
  </si>
  <si>
    <t>정혜란</t>
  </si>
  <si>
    <t>Activity Master</t>
    <phoneticPr fontId="1" type="noConversion"/>
  </si>
  <si>
    <t>Schedule</t>
    <phoneticPr fontId="1" type="noConversion"/>
  </si>
  <si>
    <t>Fiori</t>
    <phoneticPr fontId="1" type="noConversion"/>
  </si>
  <si>
    <t>진행상태</t>
  </si>
  <si>
    <t>완료</t>
  </si>
  <si>
    <t>진행중</t>
  </si>
  <si>
    <t>미시작</t>
  </si>
  <si>
    <t>검토중</t>
  </si>
  <si>
    <t>보류</t>
  </si>
  <si>
    <t>합계</t>
  </si>
  <si>
    <t>확인필요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</si>
</sst>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1E293B"/>
      <name val="Noto Sans KR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Courier New"/>
      <family val="3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1"/>
      <color rgb="FF276221"/>
      <name val="맑은 고딕"/>
      <family val="3"/>
      <charset val="129"/>
      <scheme val="minor"/>
    </font>
    <font>
      <b/>
      <sz val="11"/>
      <color rgb="FF9C5700"/>
      <name val="맑은 고딕"/>
      <family val="3"/>
      <charset val="129"/>
      <scheme val="minor"/>
    </font>
    <font>
      <b/>
      <sz val="11"/>
      <color rgb="FF595959"/>
      <name val="맑은 고딕"/>
      <family val="3"/>
      <charset val="129"/>
      <scheme val="minor"/>
    </font>
    <font>
      <b/>
      <sz val="11"/>
      <color rgb="FF1F4E79"/>
      <name val="맑은 고딕"/>
      <family val="3"/>
      <charset val="129"/>
      <scheme val="minor"/>
    </font>
    <font>
      <b/>
      <sz val="11"/>
      <color rgb="FF833C0B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3" xfId="0" applyBorder="1">
      <alignment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0" fillId="0" borderId="5" xfId="0" applyBorder="1">
      <alignment vertical="center"/>
    </xf>
  </cellXfs>
  <cellStyles count="1">
    <cellStyle name="표준" xfId="0" builtinId="0"/>
  </cellStyles>
  <dxfs count="5">
    <dxf>
      <font>
        <b/>
        <i val="0"/>
        <color rgb="FF833C0B"/>
      </font>
      <fill>
        <patternFill patternType="solid">
          <fgColor indexed="64"/>
          <bgColor rgb="FFFCE4D6"/>
        </patternFill>
      </fill>
    </dxf>
    <dxf>
      <font>
        <b/>
        <i val="0"/>
        <color rgb="FF1F4E79"/>
      </font>
      <fill>
        <patternFill patternType="solid">
          <fgColor indexed="64"/>
          <bgColor rgb="FFBDD7EE"/>
        </patternFill>
      </fill>
    </dxf>
    <dxf>
      <font>
        <b/>
        <i val="0"/>
        <color rgb="FF595959"/>
      </font>
      <fill>
        <patternFill patternType="solid">
          <fgColor indexed="64"/>
          <bgColor rgb="FFF2F2F2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피재석" refreshedDate="46155.673845717596" createdVersion="8" refreshedVersion="8" minRefreshableVersion="3" recordCount="130" xr:uid="{2EE080DB-C1ED-4577-A0A2-41072D1EB3A6}">
  <cacheSource type="worksheet">
    <worksheetSource ref="B2:D132" sheet="Program list"/>
  </cacheSource>
  <cacheFields count="3">
    <cacheField name="Program Id" numFmtId="0">
      <sharedItems count="130">
        <s v="ZLPAC0010"/>
        <s v="ZLPAC0011"/>
        <s v="ZLPAC0013"/>
        <s v="ZLPAC0014"/>
        <s v="ZLPAC0015"/>
        <s v="ZLPAC0016"/>
        <s v="ZLPAC0017"/>
        <s v="ZLPAC0018"/>
        <s v="ZLPAC0019"/>
        <s v="ZLPAC0020"/>
        <s v="ZLPAC0021"/>
        <s v="ZLPAC0030"/>
        <s v="ZLPAC0031"/>
        <s v="ZLPAC0040"/>
        <s v="ZLPAC0041"/>
        <s v="ZLPAC0050"/>
        <s v="ZLPAC0060"/>
        <s v="ZLPAC0070"/>
        <s v="ZLPAC0071"/>
        <s v="ZLPAC0072"/>
        <s v="ZLPAC0074"/>
        <s v="ZLPAC0080"/>
        <s v="ZLPAC0090"/>
        <s v="ZLPAC0091"/>
        <s v="ZLPAC0092"/>
        <s v="ZLPAC0093"/>
        <s v="ZLPAC0100"/>
        <s v="ZLPAC0101"/>
        <s v="ZLPAC0110"/>
        <s v="ZLPAC0111"/>
        <s v="ZLPAC0120"/>
        <s v="ZLPAC0130"/>
        <s v="ZLPAC0140"/>
        <s v="ZLPAC0150"/>
        <s v="ZLPAC0160"/>
        <s v="ZLPAC0170"/>
        <s v="ZLPAC0200"/>
        <s v="ZLPAC0400"/>
        <s v="ZLPAC0500"/>
        <s v="ZLPAC0510"/>
        <s v="ZLPAC0520"/>
        <s v="ZLPAC0521"/>
        <s v="ZLPAC0530"/>
        <s v="ZLPAC0540"/>
        <s v="ZLPAC0600"/>
        <s v="ZLPAC1000"/>
        <s v="ZLPAC1001"/>
        <s v="ZLPAC1010"/>
        <s v="ZLPAC1011"/>
        <s v="ZLPAC1020"/>
        <s v="ZLPAC1030"/>
        <s v="ZLPAC1050"/>
        <s v="ZLPAC2100"/>
        <s v="ZLPAC3000"/>
        <s v="ZLPAC3010"/>
        <s v="ZLPAC3020"/>
        <s v="ZLPAC5050"/>
        <s v="ZLPAC5060"/>
        <s v="ZLPAC5070"/>
        <s v="ZLPAC5080"/>
        <s v="ZLPAC5090"/>
        <s v="ZLPAC5100"/>
        <s v="ZLPAC5110"/>
        <s v="ZLPAC5111"/>
        <s v="ZLPAC5200"/>
        <s v="ZLPAC5210"/>
        <s v="ZLPAC5211"/>
        <s v="ZLPAC5300"/>
        <s v="ZLPAC5310"/>
        <s v="ZLPAC7000"/>
        <s v="ZLPAC7010"/>
        <s v="ZLPAC7011"/>
        <s v="ZLPAC7020"/>
        <s v="ZLPAC7021"/>
        <s v="ZLPAC7030"/>
        <s v="ZLPAC7100"/>
        <s v="ZLPAC7110"/>
        <s v="ZLPAC7111"/>
        <s v="ZLPAC7120"/>
        <s v="ZLPAC7140"/>
        <s v="ZLPAC7160"/>
        <s v="ZLPAC7170"/>
        <s v="ZLPAC7180"/>
        <s v="ZLPAC7190"/>
        <s v="ZLPAC7191"/>
        <s v="ZLPAC7192"/>
        <s v="ZLPAC7193"/>
        <s v="ZLPAC7194"/>
        <s v="ZLPAC7200"/>
        <s v="ZLPAC7210"/>
        <s v="ZLPAC7300"/>
        <s v="ZLPAC8010"/>
        <s v="ZLPAC8011"/>
        <s v="ZLPAC8030"/>
        <s v="ZLPAC8040"/>
        <s v="ZLPAC8100"/>
        <s v="ZLPAC8110"/>
        <s v="ZLPAC8120"/>
        <s v="ZLPAC8121"/>
        <s v="ZLPAC8122"/>
        <s v="ZLPAC9010"/>
        <s v="ZLPACALVDEF"/>
        <s v="ZLPACEXIT"/>
        <s v="ZLPACJOBS"/>
        <s v="ZLPACMIG010"/>
        <s v="ZLPACMIG020"/>
        <s v="ZLPACMIG030"/>
        <s v="ZLPACMIG040"/>
        <s v="ZLPACMIG050"/>
        <s v="ZLPACSTATUSM"/>
        <s v="ZLPACSYS"/>
        <s v="ZLPACTODOS"/>
        <s v="ZLPAC_ALV"/>
        <s v="ZLPAC_ALV_CTS"/>
        <s v="ZLPAC_AUTOLOG"/>
        <s v="ZLPAC_CRYPTO"/>
        <s v="ZLPAC_FIORI_FUNC"/>
        <s v="ZLPAC_FTCODE"/>
        <s v="ZLPAC_FTCODE_SNID"/>
        <s v="ZLPAC_HTML"/>
        <s v="ZLPAC_MONITOR_ACT"/>
        <s v="ZLPAC_MONITOR_BUPAK"/>
        <s v="ZLPAC_MONITOR_COM"/>
        <s v="ZLPAC_MONITOR_GPID"/>
        <s v="ZLPAC_OVERTIME_PID"/>
        <s v="ZLPAC_TREE"/>
        <s v="ZLPAC_TRID"/>
        <s v="ZLPAC_WIZ1000"/>
        <s v="ZLPAC_WIZARD"/>
        <s v="ZLPACALV_EVTDEF"/>
      </sharedItems>
    </cacheField>
    <cacheField name="Text" numFmtId="0">
      <sharedItems count="130">
        <s v="Maintain Business Package Config"/>
        <s v="Define Business Package"/>
        <s v="Define Business Type"/>
        <s v="Define Node Theme Setting"/>
        <s v="Define Function Code"/>
        <s v="Log Collect Exception message ID"/>
        <s v="Define Business Type By Company Code"/>
        <s v="Maintain Company Code Master"/>
        <s v="Maintain Business Area Master"/>
        <s v="Define Activity Master"/>
        <s v="Display Detail Activity Information"/>
        <s v="Maintain Standard Map"/>
        <s v="Maintain Global. Pkg Standard Map"/>
        <s v="Maintain Organization Map"/>
        <s v="Maintain Global Pkg Organization Map"/>
        <s v="Assign Organization to Bus. Package"/>
        <s v="Notice Management "/>
        <s v="Define Trigger Code"/>
        <s v="Define Locking Role"/>
        <s v="Define Common Log Parameter"/>
        <s v="Define Posted Doc Message"/>
        <s v="Define Confirm(Skip) Enable Activity"/>
        <s v="Master Configuration"/>
        <s v="Maintain Region Master"/>
        <s v="Maintain Country Master"/>
        <s v="Maintain Company Group Master"/>
        <s v="Execute PID in Process Group"/>
        <s v="Execute Main PAC Processor By Background"/>
        <s v="Execute PAC By Company"/>
        <s v="Auto Confirm Closing Schedule"/>
        <s v="Execute Map"/>
        <s v="Function Report"/>
        <s v="Display Modeling List"/>
        <s v="Create Rework Batch Job By Organization"/>
        <s v="Display Log History"/>
        <s v="Monthly Final Closing Management"/>
        <s v="Define Other Organization"/>
        <s v="Define Error Help"/>
        <s v="Define Job Schedule"/>
        <s v="Monitoring By Job Schedule"/>
        <s v="Maintain Monthly Job Schedule By Org"/>
        <s v="Execute to Send Manual Activity"/>
        <s v="Display Job Schedule History"/>
        <s v="Execute Schedule Job by Background"/>
        <s v="Display To Do"/>
        <s v="Maintain Activity Participants"/>
        <s v="Copy Business Area for User Role"/>
        <s v="Display User Authorization"/>
        <s v="Closing Activity Participants"/>
        <s v="Display Closing Activity Participants History"/>
        <s v="Define Authorization Group"/>
        <s v="Maintain Special Role"/>
        <s v="Issue Management"/>
        <s v="Define Rework Rule ID"/>
        <s v="Maintain Re-work Rule ID"/>
        <s v="Define Re-work Exception Rule"/>
        <s v="Define Closing Inspection Category"/>
        <s v="Maintain Closing Inspection Scenario"/>
        <s v="Maintain Simulation Error Control"/>
        <s v="Maintain Closing Inspection Reviewer"/>
        <s v="Display Closing Inspection Reviewer"/>
        <s v="Financial Risk Validation Monitoring"/>
        <s v="Auto Execution Closing Inspection Category by Reviewer"/>
        <s v="Auto Execution for Closing Inspection Reviewer By Scenario"/>
        <s v="Closing Inspection Monitoring"/>
        <s v="Auto Execution for Closing Inspection By Category"/>
        <s v="Auto Execution for Closing Inspection By Scenario"/>
        <s v="Closing Inspection Simul.Run Monitor"/>
        <s v="Auto Execution for Simulation Run"/>
        <s v="Maintain Closing Schedule Config"/>
        <s v="Define Schedule ID"/>
        <s v="Define Calendar ID-&gt;Define Schedule ID"/>
        <s v="Assign Schedule to Organization"/>
        <s v="Assign Schedule to Organization"/>
        <s v="Monthly Closing Calendar control"/>
        <s v="Distribute Closing Schedule"/>
        <s v="Closing Schedule Plan Distribution"/>
        <s v="SYNC Batch Job"/>
        <s v="Simulate Closing Schedule"/>
        <s v="Display Closing Sch Change History"/>
        <s v="Posting Super User Registration"/>
        <s v="Change Closing Schedule"/>
        <s v="Change Closing Schedule Detail"/>
        <s v="Overdue Closing Check"/>
        <s v="Rework All Closing Check"/>
        <s v="Sync Status when PID master changed"/>
        <s v="Sync Status when Activity Group Move"/>
        <s v="Schedule Interface Batch Job"/>
        <s v="Set Closing Schedule Alarm"/>
        <s v="Closing Schedule Alarm Mailing"/>
        <s v="Standard Next Period Auto Open"/>
        <s v="Define Global Package ID"/>
        <s v="Assign Business Pkg to Global ID"/>
        <s v="Define Activity Grouping in Glob.Map"/>
        <s v="Define Global Package Link"/>
        <s v="Maintain Monitoring Version"/>
        <s v="Assign Monitoring Version to Company"/>
        <s v="Modeling Monitoring Company Map"/>
        <s v="Modeling Company Level Standard Map"/>
        <s v="Modeling Company Level Org Map"/>
        <s v="PAC PID File Attachment"/>
        <s v="Maintain Default ALV Field Catalog"/>
        <s v="Maintain PAC User Exit"/>
        <s v="Batch Job Monitoring(Running Proc)"/>
        <s v="TABLE Data Upload/Downlo"/>
        <s v="Transport Table Data"/>
        <s v="Migration Data for DBO Table"/>
        <s v="Migration Data for Multi Table"/>
        <s v="Migration Data for Busin"/>
        <s v="Status Management for Admin"/>
        <s v="PAC System Setting"/>
        <s v="To Do Abnormal Monitoring"/>
        <s v="ALV Manager"/>
        <s v="ALV transport"/>
        <s v="Auto Logging"/>
        <s v="PAC Obfuscation"/>
        <s v="Function Execute for Fiori"/>
        <s v="Call TCODE from fiori"/>
        <s v="Call SAP Transaction for Scenario"/>
        <s v="PAC HTML Manager"/>
        <s v="Monitoring by Activity"/>
        <s v="Monitoring by Business Package"/>
        <s v="Monitoring by Company Code"/>
        <s v="Subsidiary Closing Monitoring"/>
        <s v="Activity OverTime Monitoring"/>
        <s v="Maintain Menu Tree"/>
        <s v="Define Menu Tree ID"/>
        <s v="PAC Logging Inspection"/>
        <s v="PAC Logging Wizard"/>
        <s v="Maintain Default Field Event"/>
      </sharedItems>
    </cacheField>
    <cacheField name="구분" numFmtId="0">
      <sharedItems count="15">
        <s v="Config "/>
        <s v="Org Mst "/>
        <s v="Fiori"/>
        <s v="Activity Master"/>
        <s v="Modeling"/>
        <s v="Auth"/>
        <s v="Config"/>
        <s v="Operation"/>
        <s v="Monitor"/>
        <s v="JOB"/>
        <s v="todo"/>
        <s v="Closing Inspection"/>
        <s v="Schedule"/>
        <s v="ETC"/>
        <s v="AL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x v="0"/>
  </r>
  <r>
    <x v="1"/>
    <x v="1"/>
    <x v="0"/>
  </r>
  <r>
    <x v="2"/>
    <x v="2"/>
    <x v="1"/>
  </r>
  <r>
    <x v="3"/>
    <x v="3"/>
    <x v="2"/>
  </r>
  <r>
    <x v="4"/>
    <x v="4"/>
    <x v="2"/>
  </r>
  <r>
    <x v="5"/>
    <x v="5"/>
    <x v="3"/>
  </r>
  <r>
    <x v="6"/>
    <x v="6"/>
    <x v="1"/>
  </r>
  <r>
    <x v="7"/>
    <x v="7"/>
    <x v="1"/>
  </r>
  <r>
    <x v="8"/>
    <x v="8"/>
    <x v="1"/>
  </r>
  <r>
    <x v="9"/>
    <x v="9"/>
    <x v="3"/>
  </r>
  <r>
    <x v="10"/>
    <x v="10"/>
    <x v="3"/>
  </r>
  <r>
    <x v="11"/>
    <x v="11"/>
    <x v="4"/>
  </r>
  <r>
    <x v="12"/>
    <x v="12"/>
    <x v="4"/>
  </r>
  <r>
    <x v="13"/>
    <x v="13"/>
    <x v="4"/>
  </r>
  <r>
    <x v="14"/>
    <x v="14"/>
    <x v="4"/>
  </r>
  <r>
    <x v="15"/>
    <x v="15"/>
    <x v="1"/>
  </r>
  <r>
    <x v="16"/>
    <x v="16"/>
    <x v="2"/>
  </r>
  <r>
    <x v="17"/>
    <x v="17"/>
    <x v="3"/>
  </r>
  <r>
    <x v="18"/>
    <x v="18"/>
    <x v="3"/>
  </r>
  <r>
    <x v="19"/>
    <x v="19"/>
    <x v="3"/>
  </r>
  <r>
    <x v="20"/>
    <x v="20"/>
    <x v="3"/>
  </r>
  <r>
    <x v="21"/>
    <x v="21"/>
    <x v="5"/>
  </r>
  <r>
    <x v="22"/>
    <x v="22"/>
    <x v="6"/>
  </r>
  <r>
    <x v="23"/>
    <x v="23"/>
    <x v="1"/>
  </r>
  <r>
    <x v="24"/>
    <x v="24"/>
    <x v="1"/>
  </r>
  <r>
    <x v="25"/>
    <x v="25"/>
    <x v="1"/>
  </r>
  <r>
    <x v="26"/>
    <x v="26"/>
    <x v="7"/>
  </r>
  <r>
    <x v="27"/>
    <x v="27"/>
    <x v="7"/>
  </r>
  <r>
    <x v="28"/>
    <x v="28"/>
    <x v="7"/>
  </r>
  <r>
    <x v="29"/>
    <x v="29"/>
    <x v="7"/>
  </r>
  <r>
    <x v="30"/>
    <x v="30"/>
    <x v="7"/>
  </r>
  <r>
    <x v="31"/>
    <x v="31"/>
    <x v="7"/>
  </r>
  <r>
    <x v="32"/>
    <x v="32"/>
    <x v="4"/>
  </r>
  <r>
    <x v="33"/>
    <x v="33"/>
    <x v="7"/>
  </r>
  <r>
    <x v="34"/>
    <x v="34"/>
    <x v="2"/>
  </r>
  <r>
    <x v="35"/>
    <x v="35"/>
    <x v="8"/>
  </r>
  <r>
    <x v="36"/>
    <x v="36"/>
    <x v="1"/>
  </r>
  <r>
    <x v="37"/>
    <x v="37"/>
    <x v="2"/>
  </r>
  <r>
    <x v="38"/>
    <x v="38"/>
    <x v="9"/>
  </r>
  <r>
    <x v="39"/>
    <x v="39"/>
    <x v="9"/>
  </r>
  <r>
    <x v="40"/>
    <x v="40"/>
    <x v="9"/>
  </r>
  <r>
    <x v="41"/>
    <x v="41"/>
    <x v="9"/>
  </r>
  <r>
    <x v="42"/>
    <x v="42"/>
    <x v="9"/>
  </r>
  <r>
    <x v="43"/>
    <x v="43"/>
    <x v="9"/>
  </r>
  <r>
    <x v="44"/>
    <x v="44"/>
    <x v="10"/>
  </r>
  <r>
    <x v="45"/>
    <x v="45"/>
    <x v="5"/>
  </r>
  <r>
    <x v="46"/>
    <x v="46"/>
    <x v="5"/>
  </r>
  <r>
    <x v="47"/>
    <x v="47"/>
    <x v="5"/>
  </r>
  <r>
    <x v="48"/>
    <x v="48"/>
    <x v="5"/>
  </r>
  <r>
    <x v="49"/>
    <x v="49"/>
    <x v="5"/>
  </r>
  <r>
    <x v="50"/>
    <x v="50"/>
    <x v="5"/>
  </r>
  <r>
    <x v="51"/>
    <x v="51"/>
    <x v="5"/>
  </r>
  <r>
    <x v="52"/>
    <x v="52"/>
    <x v="2"/>
  </r>
  <r>
    <x v="53"/>
    <x v="53"/>
    <x v="3"/>
  </r>
  <r>
    <x v="54"/>
    <x v="54"/>
    <x v="3"/>
  </r>
  <r>
    <x v="55"/>
    <x v="55"/>
    <x v="3"/>
  </r>
  <r>
    <x v="56"/>
    <x v="56"/>
    <x v="11"/>
  </r>
  <r>
    <x v="57"/>
    <x v="57"/>
    <x v="11"/>
  </r>
  <r>
    <x v="58"/>
    <x v="58"/>
    <x v="11"/>
  </r>
  <r>
    <x v="59"/>
    <x v="59"/>
    <x v="11"/>
  </r>
  <r>
    <x v="60"/>
    <x v="60"/>
    <x v="11"/>
  </r>
  <r>
    <x v="61"/>
    <x v="61"/>
    <x v="11"/>
  </r>
  <r>
    <x v="62"/>
    <x v="62"/>
    <x v="11"/>
  </r>
  <r>
    <x v="63"/>
    <x v="63"/>
    <x v="11"/>
  </r>
  <r>
    <x v="64"/>
    <x v="64"/>
    <x v="11"/>
  </r>
  <r>
    <x v="65"/>
    <x v="65"/>
    <x v="11"/>
  </r>
  <r>
    <x v="66"/>
    <x v="66"/>
    <x v="11"/>
  </r>
  <r>
    <x v="67"/>
    <x v="67"/>
    <x v="11"/>
  </r>
  <r>
    <x v="68"/>
    <x v="68"/>
    <x v="11"/>
  </r>
  <r>
    <x v="69"/>
    <x v="69"/>
    <x v="12"/>
  </r>
  <r>
    <x v="70"/>
    <x v="70"/>
    <x v="12"/>
  </r>
  <r>
    <x v="71"/>
    <x v="71"/>
    <x v="12"/>
  </r>
  <r>
    <x v="72"/>
    <x v="72"/>
    <x v="12"/>
  </r>
  <r>
    <x v="73"/>
    <x v="73"/>
    <x v="12"/>
  </r>
  <r>
    <x v="74"/>
    <x v="74"/>
    <x v="12"/>
  </r>
  <r>
    <x v="75"/>
    <x v="75"/>
    <x v="12"/>
  </r>
  <r>
    <x v="76"/>
    <x v="76"/>
    <x v="12"/>
  </r>
  <r>
    <x v="77"/>
    <x v="77"/>
    <x v="12"/>
  </r>
  <r>
    <x v="78"/>
    <x v="78"/>
    <x v="12"/>
  </r>
  <r>
    <x v="79"/>
    <x v="79"/>
    <x v="12"/>
  </r>
  <r>
    <x v="80"/>
    <x v="80"/>
    <x v="12"/>
  </r>
  <r>
    <x v="81"/>
    <x v="81"/>
    <x v="12"/>
  </r>
  <r>
    <x v="82"/>
    <x v="82"/>
    <x v="12"/>
  </r>
  <r>
    <x v="83"/>
    <x v="83"/>
    <x v="12"/>
  </r>
  <r>
    <x v="84"/>
    <x v="84"/>
    <x v="12"/>
  </r>
  <r>
    <x v="85"/>
    <x v="85"/>
    <x v="12"/>
  </r>
  <r>
    <x v="86"/>
    <x v="86"/>
    <x v="12"/>
  </r>
  <r>
    <x v="87"/>
    <x v="87"/>
    <x v="12"/>
  </r>
  <r>
    <x v="88"/>
    <x v="88"/>
    <x v="12"/>
  </r>
  <r>
    <x v="89"/>
    <x v="89"/>
    <x v="12"/>
  </r>
  <r>
    <x v="90"/>
    <x v="90"/>
    <x v="12"/>
  </r>
  <r>
    <x v="91"/>
    <x v="91"/>
    <x v="6"/>
  </r>
  <r>
    <x v="92"/>
    <x v="92"/>
    <x v="6"/>
  </r>
  <r>
    <x v="93"/>
    <x v="93"/>
    <x v="4"/>
  </r>
  <r>
    <x v="94"/>
    <x v="94"/>
    <x v="4"/>
  </r>
  <r>
    <x v="95"/>
    <x v="95"/>
    <x v="4"/>
  </r>
  <r>
    <x v="96"/>
    <x v="96"/>
    <x v="4"/>
  </r>
  <r>
    <x v="97"/>
    <x v="97"/>
    <x v="4"/>
  </r>
  <r>
    <x v="98"/>
    <x v="98"/>
    <x v="4"/>
  </r>
  <r>
    <x v="99"/>
    <x v="99"/>
    <x v="4"/>
  </r>
  <r>
    <x v="100"/>
    <x v="100"/>
    <x v="13"/>
  </r>
  <r>
    <x v="101"/>
    <x v="101"/>
    <x v="14"/>
  </r>
  <r>
    <x v="102"/>
    <x v="102"/>
    <x v="13"/>
  </r>
  <r>
    <x v="103"/>
    <x v="103"/>
    <x v="9"/>
  </r>
  <r>
    <x v="104"/>
    <x v="104"/>
    <x v="13"/>
  </r>
  <r>
    <x v="105"/>
    <x v="105"/>
    <x v="13"/>
  </r>
  <r>
    <x v="106"/>
    <x v="106"/>
    <x v="13"/>
  </r>
  <r>
    <x v="107"/>
    <x v="107"/>
    <x v="13"/>
  </r>
  <r>
    <x v="108"/>
    <x v="108"/>
    <x v="13"/>
  </r>
  <r>
    <x v="109"/>
    <x v="109"/>
    <x v="8"/>
  </r>
  <r>
    <x v="110"/>
    <x v="110"/>
    <x v="6"/>
  </r>
  <r>
    <x v="111"/>
    <x v="111"/>
    <x v="10"/>
  </r>
  <r>
    <x v="112"/>
    <x v="112"/>
    <x v="14"/>
  </r>
  <r>
    <x v="113"/>
    <x v="113"/>
    <x v="14"/>
  </r>
  <r>
    <x v="114"/>
    <x v="114"/>
    <x v="14"/>
  </r>
  <r>
    <x v="115"/>
    <x v="115"/>
    <x v="13"/>
  </r>
  <r>
    <x v="116"/>
    <x v="116"/>
    <x v="7"/>
  </r>
  <r>
    <x v="117"/>
    <x v="117"/>
    <x v="7"/>
  </r>
  <r>
    <x v="118"/>
    <x v="118"/>
    <x v="7"/>
  </r>
  <r>
    <x v="119"/>
    <x v="119"/>
    <x v="13"/>
  </r>
  <r>
    <x v="120"/>
    <x v="120"/>
    <x v="8"/>
  </r>
  <r>
    <x v="121"/>
    <x v="121"/>
    <x v="8"/>
  </r>
  <r>
    <x v="122"/>
    <x v="122"/>
    <x v="8"/>
  </r>
  <r>
    <x v="123"/>
    <x v="123"/>
    <x v="8"/>
  </r>
  <r>
    <x v="124"/>
    <x v="124"/>
    <x v="8"/>
  </r>
  <r>
    <x v="125"/>
    <x v="125"/>
    <x v="2"/>
  </r>
  <r>
    <x v="126"/>
    <x v="126"/>
    <x v="2"/>
  </r>
  <r>
    <x v="127"/>
    <x v="127"/>
    <x v="13"/>
  </r>
  <r>
    <x v="128"/>
    <x v="128"/>
    <x v="13"/>
  </r>
  <r>
    <x v="129"/>
    <x v="129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A7AD7-BCD8-48A0-BD06-C10F6B11C008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134" firstHeaderRow="1" firstDataRow="1" firstDataCol="3"/>
  <pivotFields count="3">
    <pivotField axis="axisRow" outline="0" showAll="0" defaultSubtotal="0">
      <items count="130"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29"/>
        <item x="101"/>
        <item x="102"/>
        <item x="103"/>
        <item x="104"/>
        <item x="105"/>
        <item x="106"/>
        <item x="107"/>
        <item x="108"/>
        <item x="109"/>
        <item x="110"/>
        <item x="111"/>
      </items>
    </pivotField>
    <pivotField axis="axisRow" showAll="0">
      <items count="131">
        <item x="124"/>
        <item x="112"/>
        <item x="113"/>
        <item x="92"/>
        <item x="96"/>
        <item x="15"/>
        <item x="72"/>
        <item x="73"/>
        <item x="29"/>
        <item x="62"/>
        <item x="65"/>
        <item x="66"/>
        <item x="63"/>
        <item x="68"/>
        <item x="114"/>
        <item x="103"/>
        <item x="117"/>
        <item x="118"/>
        <item x="81"/>
        <item x="82"/>
        <item x="48"/>
        <item x="64"/>
        <item x="67"/>
        <item x="89"/>
        <item x="76"/>
        <item x="46"/>
        <item x="33"/>
        <item x="93"/>
        <item x="9"/>
        <item x="50"/>
        <item x="1"/>
        <item x="2"/>
        <item x="6"/>
        <item x="56"/>
        <item x="19"/>
        <item x="21"/>
        <item x="37"/>
        <item x="4"/>
        <item x="91"/>
        <item x="94"/>
        <item x="38"/>
        <item x="18"/>
        <item x="126"/>
        <item x="3"/>
        <item x="36"/>
        <item x="20"/>
        <item x="55"/>
        <item x="53"/>
        <item x="70"/>
        <item x="17"/>
        <item x="71"/>
        <item x="49"/>
        <item x="60"/>
        <item x="79"/>
        <item x="10"/>
        <item x="42"/>
        <item x="34"/>
        <item x="32"/>
        <item x="44"/>
        <item x="47"/>
        <item x="75"/>
        <item x="30"/>
        <item x="26"/>
        <item x="43"/>
        <item x="41"/>
        <item x="27"/>
        <item x="28"/>
        <item x="61"/>
        <item x="31"/>
        <item x="116"/>
        <item x="52"/>
        <item x="5"/>
        <item x="45"/>
        <item x="8"/>
        <item x="0"/>
        <item x="59"/>
        <item x="57"/>
        <item x="69"/>
        <item x="7"/>
        <item x="25"/>
        <item x="24"/>
        <item x="101"/>
        <item x="129"/>
        <item x="14"/>
        <item x="12"/>
        <item x="125"/>
        <item x="95"/>
        <item x="40"/>
        <item x="13"/>
        <item x="102"/>
        <item x="23"/>
        <item x="54"/>
        <item x="58"/>
        <item x="51"/>
        <item x="11"/>
        <item x="22"/>
        <item x="108"/>
        <item x="106"/>
        <item x="107"/>
        <item x="99"/>
        <item x="98"/>
        <item x="97"/>
        <item x="120"/>
        <item x="121"/>
        <item x="122"/>
        <item x="39"/>
        <item x="74"/>
        <item x="35"/>
        <item x="16"/>
        <item x="83"/>
        <item x="119"/>
        <item x="127"/>
        <item x="128"/>
        <item x="115"/>
        <item x="100"/>
        <item x="110"/>
        <item x="80"/>
        <item x="84"/>
        <item x="87"/>
        <item x="88"/>
        <item x="78"/>
        <item x="90"/>
        <item x="109"/>
        <item x="123"/>
        <item x="77"/>
        <item x="86"/>
        <item x="85"/>
        <item x="104"/>
        <item x="111"/>
        <item x="105"/>
        <item t="default"/>
      </items>
    </pivotField>
    <pivotField axis="axisRow" outline="0" showAll="0" defaultSubtotal="0">
      <items count="15">
        <item x="3"/>
        <item x="14"/>
        <item x="5"/>
        <item x="11"/>
        <item x="6"/>
        <item x="0"/>
        <item x="13"/>
        <item x="2"/>
        <item x="9"/>
        <item x="4"/>
        <item x="8"/>
        <item x="7"/>
        <item x="1"/>
        <item x="12"/>
        <item x="10"/>
      </items>
    </pivotField>
  </pivotFields>
  <rowFields count="3">
    <field x="2"/>
    <field x="0"/>
    <field x="1"/>
  </rowFields>
  <rowItems count="131">
    <i>
      <x/>
      <x v="22"/>
      <x v="71"/>
    </i>
    <i r="1">
      <x v="26"/>
      <x v="28"/>
    </i>
    <i r="1">
      <x v="27"/>
      <x v="54"/>
    </i>
    <i r="1">
      <x v="34"/>
      <x v="49"/>
    </i>
    <i r="1">
      <x v="35"/>
      <x v="41"/>
    </i>
    <i r="1">
      <x v="36"/>
      <x v="34"/>
    </i>
    <i r="1">
      <x v="37"/>
      <x v="45"/>
    </i>
    <i r="1">
      <x v="70"/>
      <x v="47"/>
    </i>
    <i r="1">
      <x v="71"/>
      <x v="91"/>
    </i>
    <i r="1">
      <x v="72"/>
      <x v="46"/>
    </i>
    <i>
      <x v="1"/>
      <x/>
      <x v="1"/>
    </i>
    <i r="1">
      <x v="1"/>
      <x v="2"/>
    </i>
    <i r="1">
      <x v="2"/>
      <x v="14"/>
    </i>
    <i r="1">
      <x v="118"/>
      <x v="82"/>
    </i>
    <i r="1">
      <x v="119"/>
      <x v="81"/>
    </i>
    <i>
      <x v="2"/>
      <x v="38"/>
      <x v="35"/>
    </i>
    <i r="1">
      <x v="62"/>
      <x v="72"/>
    </i>
    <i r="1">
      <x v="63"/>
      <x v="25"/>
    </i>
    <i r="1">
      <x v="64"/>
      <x v="59"/>
    </i>
    <i r="1">
      <x v="65"/>
      <x v="20"/>
    </i>
    <i r="1">
      <x v="66"/>
      <x v="51"/>
    </i>
    <i r="1">
      <x v="67"/>
      <x v="29"/>
    </i>
    <i r="1">
      <x v="68"/>
      <x v="93"/>
    </i>
    <i>
      <x v="3"/>
      <x v="73"/>
      <x v="33"/>
    </i>
    <i r="1">
      <x v="74"/>
      <x v="76"/>
    </i>
    <i r="1">
      <x v="75"/>
      <x v="92"/>
    </i>
    <i r="1">
      <x v="76"/>
      <x v="75"/>
    </i>
    <i r="1">
      <x v="77"/>
      <x v="52"/>
    </i>
    <i r="1">
      <x v="78"/>
      <x v="67"/>
    </i>
    <i r="1">
      <x v="79"/>
      <x v="9"/>
    </i>
    <i r="1">
      <x v="80"/>
      <x v="12"/>
    </i>
    <i r="1">
      <x v="81"/>
      <x v="21"/>
    </i>
    <i r="1">
      <x v="82"/>
      <x v="10"/>
    </i>
    <i r="1">
      <x v="83"/>
      <x v="11"/>
    </i>
    <i r="1">
      <x v="84"/>
      <x v="22"/>
    </i>
    <i r="1">
      <x v="85"/>
      <x v="13"/>
    </i>
    <i>
      <x v="4"/>
      <x v="39"/>
      <x v="95"/>
    </i>
    <i r="1">
      <x v="108"/>
      <x v="38"/>
    </i>
    <i r="1">
      <x v="109"/>
      <x v="3"/>
    </i>
    <i r="1">
      <x v="128"/>
      <x v="115"/>
    </i>
    <i>
      <x v="5"/>
      <x v="17"/>
      <x v="74"/>
    </i>
    <i r="1">
      <x v="18"/>
      <x v="30"/>
    </i>
    <i>
      <x v="6"/>
      <x v="3"/>
      <x v="113"/>
    </i>
    <i r="1">
      <x v="7"/>
      <x v="110"/>
    </i>
    <i r="1">
      <x v="15"/>
      <x v="111"/>
    </i>
    <i r="1">
      <x v="16"/>
      <x v="112"/>
    </i>
    <i r="1">
      <x v="117"/>
      <x v="114"/>
    </i>
    <i r="1">
      <x v="120"/>
      <x v="89"/>
    </i>
    <i r="1">
      <x v="122"/>
      <x v="127"/>
    </i>
    <i r="1">
      <x v="123"/>
      <x v="129"/>
    </i>
    <i r="1">
      <x v="124"/>
      <x v="97"/>
    </i>
    <i r="1">
      <x v="125"/>
      <x v="98"/>
    </i>
    <i r="1">
      <x v="126"/>
      <x v="96"/>
    </i>
    <i>
      <x v="7"/>
      <x v="13"/>
      <x v="85"/>
    </i>
    <i r="1">
      <x v="14"/>
      <x v="42"/>
    </i>
    <i r="1">
      <x v="20"/>
      <x v="43"/>
    </i>
    <i r="1">
      <x v="21"/>
      <x v="37"/>
    </i>
    <i r="1">
      <x v="33"/>
      <x v="108"/>
    </i>
    <i r="1">
      <x v="51"/>
      <x v="56"/>
    </i>
    <i r="1">
      <x v="54"/>
      <x v="36"/>
    </i>
    <i r="1">
      <x v="69"/>
      <x v="70"/>
    </i>
    <i>
      <x v="8"/>
      <x v="55"/>
      <x v="40"/>
    </i>
    <i r="1">
      <x v="56"/>
      <x v="105"/>
    </i>
    <i r="1">
      <x v="57"/>
      <x v="87"/>
    </i>
    <i r="1">
      <x v="58"/>
      <x v="64"/>
    </i>
    <i r="1">
      <x v="59"/>
      <x v="55"/>
    </i>
    <i r="1">
      <x v="60"/>
      <x v="63"/>
    </i>
    <i r="1">
      <x v="121"/>
      <x v="15"/>
    </i>
    <i>
      <x v="9"/>
      <x v="28"/>
      <x v="94"/>
    </i>
    <i r="1">
      <x v="29"/>
      <x v="84"/>
    </i>
    <i r="1">
      <x v="30"/>
      <x v="88"/>
    </i>
    <i r="1">
      <x v="31"/>
      <x v="83"/>
    </i>
    <i r="1">
      <x v="49"/>
      <x v="57"/>
    </i>
    <i r="1">
      <x v="110"/>
      <x v="27"/>
    </i>
    <i r="1">
      <x v="111"/>
      <x v="39"/>
    </i>
    <i r="1">
      <x v="112"/>
      <x v="86"/>
    </i>
    <i r="1">
      <x v="113"/>
      <x v="4"/>
    </i>
    <i r="1">
      <x v="114"/>
      <x v="101"/>
    </i>
    <i r="1">
      <x v="115"/>
      <x v="100"/>
    </i>
    <i r="1">
      <x v="116"/>
      <x v="99"/>
    </i>
    <i>
      <x v="10"/>
      <x v="8"/>
      <x v="102"/>
    </i>
    <i r="1">
      <x v="9"/>
      <x v="103"/>
    </i>
    <i r="1">
      <x v="10"/>
      <x v="104"/>
    </i>
    <i r="1">
      <x v="11"/>
      <x v="123"/>
    </i>
    <i r="1">
      <x v="12"/>
      <x/>
    </i>
    <i r="1">
      <x v="52"/>
      <x v="107"/>
    </i>
    <i r="1">
      <x v="127"/>
      <x v="122"/>
    </i>
    <i>
      <x v="11"/>
      <x v="4"/>
      <x v="69"/>
    </i>
    <i r="1">
      <x v="5"/>
      <x v="16"/>
    </i>
    <i r="1">
      <x v="6"/>
      <x v="17"/>
    </i>
    <i r="1">
      <x v="43"/>
      <x v="62"/>
    </i>
    <i r="1">
      <x v="44"/>
      <x v="65"/>
    </i>
    <i r="1">
      <x v="45"/>
      <x v="66"/>
    </i>
    <i r="1">
      <x v="46"/>
      <x v="8"/>
    </i>
    <i r="1">
      <x v="47"/>
      <x v="61"/>
    </i>
    <i r="1">
      <x v="48"/>
      <x v="68"/>
    </i>
    <i r="1">
      <x v="50"/>
      <x v="26"/>
    </i>
    <i>
      <x v="12"/>
      <x v="19"/>
      <x v="31"/>
    </i>
    <i r="1">
      <x v="23"/>
      <x v="32"/>
    </i>
    <i r="1">
      <x v="24"/>
      <x v="78"/>
    </i>
    <i r="1">
      <x v="25"/>
      <x v="73"/>
    </i>
    <i r="1">
      <x v="32"/>
      <x v="5"/>
    </i>
    <i r="1">
      <x v="40"/>
      <x v="90"/>
    </i>
    <i r="1">
      <x v="41"/>
      <x v="80"/>
    </i>
    <i r="1">
      <x v="42"/>
      <x v="79"/>
    </i>
    <i r="1">
      <x v="53"/>
      <x v="44"/>
    </i>
    <i>
      <x v="13"/>
      <x v="86"/>
      <x v="77"/>
    </i>
    <i r="1">
      <x v="87"/>
      <x v="48"/>
    </i>
    <i r="1">
      <x v="88"/>
      <x v="50"/>
    </i>
    <i r="1">
      <x v="89"/>
      <x v="6"/>
    </i>
    <i r="1">
      <x v="90"/>
      <x v="7"/>
    </i>
    <i r="1">
      <x v="91"/>
      <x v="106"/>
    </i>
    <i r="1">
      <x v="92"/>
      <x v="60"/>
    </i>
    <i r="1">
      <x v="93"/>
      <x v="24"/>
    </i>
    <i r="1">
      <x v="94"/>
      <x v="124"/>
    </i>
    <i r="1">
      <x v="95"/>
      <x v="120"/>
    </i>
    <i r="1">
      <x v="96"/>
      <x v="53"/>
    </i>
    <i r="1">
      <x v="97"/>
      <x v="116"/>
    </i>
    <i r="1">
      <x v="98"/>
      <x v="18"/>
    </i>
    <i r="1">
      <x v="99"/>
      <x v="19"/>
    </i>
    <i r="1">
      <x v="100"/>
      <x v="109"/>
    </i>
    <i r="1">
      <x v="101"/>
      <x v="117"/>
    </i>
    <i r="1">
      <x v="102"/>
      <x v="126"/>
    </i>
    <i r="1">
      <x v="103"/>
      <x v="125"/>
    </i>
    <i r="1">
      <x v="104"/>
      <x v="118"/>
    </i>
    <i r="1">
      <x v="105"/>
      <x v="119"/>
    </i>
    <i r="1">
      <x v="106"/>
      <x v="23"/>
    </i>
    <i r="1">
      <x v="107"/>
      <x v="121"/>
    </i>
    <i>
      <x v="14"/>
      <x v="61"/>
      <x v="58"/>
    </i>
    <i r="1">
      <x v="129"/>
      <x v="12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CE8BA3-7BA4-486D-8A26-E9B395523596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8457113d-a150-47b2-ad97-1b7ed7bb480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CD8A-57E7-4B97-A9F0-FA1BDE55A613}">
  <sheetPr>
    <tabColor rgb="FF92D050"/>
  </sheetPr>
  <dimension ref="B2:M125"/>
  <sheetViews>
    <sheetView showGridLines="0" tabSelected="1" topLeftCell="A114" zoomScaleNormal="100" workbookViewId="0">
      <selection activeCell="E120" sqref="E120"/>
    </sheetView>
  </sheetViews>
  <sheetFormatPr defaultRowHeight="17.399999999999999" x14ac:dyDescent="0.4"/>
  <cols>
    <col min="1" max="1" width="4.19921875" customWidth="1"/>
    <col min="2" max="2" width="16.8984375" bestFit="1" customWidth="1"/>
    <col min="3" max="3" width="23.5" bestFit="1" customWidth="1"/>
    <col min="4" max="4" width="53.59765625" bestFit="1" customWidth="1"/>
    <col min="5" max="5" width="9.296875" style="10" customWidth="1"/>
    <col min="6" max="6" width="8.3984375" customWidth="1"/>
    <col min="7" max="7" width="6.796875" customWidth="1"/>
    <col min="8" max="8" width="10" customWidth="1"/>
    <col min="9" max="13" width="9.19921875" customWidth="1"/>
  </cols>
  <sheetData>
    <row r="2" spans="2:13" x14ac:dyDescent="0.4">
      <c r="B2" s="8" t="s">
        <v>1</v>
      </c>
      <c r="C2" s="8" t="s">
        <v>309</v>
      </c>
      <c r="D2" s="8" t="s">
        <v>310</v>
      </c>
      <c r="E2" s="8" t="s">
        <v>311</v>
      </c>
      <c r="F2" s="18" t="s">
        <v>322</v>
      </c>
      <c r="H2" s="11" t="s">
        <v>322</v>
      </c>
      <c r="I2" s="11" t="s">
        <v>314</v>
      </c>
      <c r="J2" s="11" t="s">
        <v>315</v>
      </c>
      <c r="K2" s="11" t="s">
        <v>316</v>
      </c>
      <c r="L2" s="11" t="s">
        <v>317</v>
      </c>
      <c r="M2" s="11" t="s">
        <v>318</v>
      </c>
    </row>
    <row r="3" spans="2:13" x14ac:dyDescent="0.4">
      <c r="B3" s="7" t="s">
        <v>280</v>
      </c>
      <c r="C3" s="7" t="s">
        <v>25</v>
      </c>
      <c r="D3" s="7" t="s">
        <v>26</v>
      </c>
      <c r="E3" s="9" t="str">
        <f>VLOOKUP($B3,담당자!$C:$D,2,FALSE)</f>
        <v>피재석</v>
      </c>
      <c r="F3" s="9" t="s">
        <v>326</v>
      </c>
      <c r="H3" s="12" t="s">
        <v>323</v>
      </c>
      <c r="I3" s="13">
        <f>COUNTIFS($E:$E,"피재석",$F:$F,"완료")</f>
        <v>0</v>
      </c>
      <c r="J3" s="13">
        <f>COUNTIFS($E:$E,"정일환",$F:$F,"완료")</f>
        <v>0</v>
      </c>
      <c r="K3" s="13">
        <f>COUNTIFS($E:$E,"정유림",$F:$F,"완료")</f>
        <v>0</v>
      </c>
      <c r="L3" s="13">
        <f>COUNTIFS($E:$E,"김다은",$F:$F,"완료")</f>
        <v>0</v>
      </c>
      <c r="M3" s="13">
        <f>COUNTIFS($E:$E,"정혜란",$F:$F,"완료")</f>
        <v>0</v>
      </c>
    </row>
    <row r="4" spans="2:13" x14ac:dyDescent="0.4">
      <c r="B4" s="7" t="s">
        <v>280</v>
      </c>
      <c r="C4" s="7" t="s">
        <v>33</v>
      </c>
      <c r="D4" s="7" t="s">
        <v>34</v>
      </c>
      <c r="E4" s="9" t="str">
        <f>VLOOKUP($B4,담당자!$C:$D,2,FALSE)</f>
        <v>피재석</v>
      </c>
      <c r="F4" s="9" t="s">
        <v>324</v>
      </c>
      <c r="H4" s="14" t="s">
        <v>324</v>
      </c>
      <c r="I4" s="13">
        <f>COUNTIFS($E:$E,"피재석",$F:$F,"진행중")</f>
        <v>1</v>
      </c>
      <c r="J4" s="13">
        <f>COUNTIFS($E:$E,"정일환",$F:$F,"진행중")</f>
        <v>0</v>
      </c>
      <c r="K4" s="13">
        <f>COUNTIFS($E:$E,"정유림",$F:$F,"진행중")</f>
        <v>0</v>
      </c>
      <c r="L4" s="13">
        <f>COUNTIFS($E:$E,"김다은",$F:$F,"진행중")</f>
        <v>0</v>
      </c>
      <c r="M4" s="13">
        <f>COUNTIFS($E:$E,"정혜란",$F:$F,"진행중")</f>
        <v>0</v>
      </c>
    </row>
    <row r="5" spans="2:13" x14ac:dyDescent="0.4">
      <c r="B5" s="7" t="s">
        <v>280</v>
      </c>
      <c r="C5" s="7" t="s">
        <v>49</v>
      </c>
      <c r="D5" s="7" t="s">
        <v>50</v>
      </c>
      <c r="E5" s="9" t="str">
        <f>VLOOKUP($B5,담당자!$C:$D,2,FALSE)</f>
        <v>피재석</v>
      </c>
      <c r="F5" s="9" t="s">
        <v>326</v>
      </c>
      <c r="H5" s="15" t="s">
        <v>325</v>
      </c>
      <c r="I5" s="13">
        <f>COUNTIFS($E:$E,"피재석",$F:$F,"미시작")</f>
        <v>0</v>
      </c>
      <c r="J5" s="13">
        <f>COUNTIFS($E:$E,"정일환",$F:$F,"미시작")</f>
        <v>0</v>
      </c>
      <c r="K5" s="13">
        <f>COUNTIFS($E:$E,"정유림",$F:$F,"미시작")</f>
        <v>0</v>
      </c>
      <c r="L5" s="13">
        <f>COUNTIFS($E:$E,"김다은",$F:$F,"미시작")</f>
        <v>0</v>
      </c>
      <c r="M5" s="13">
        <f>COUNTIFS($E:$E,"정혜란",$F:$F,"미시작")</f>
        <v>0</v>
      </c>
    </row>
    <row r="6" spans="2:13" x14ac:dyDescent="0.4">
      <c r="B6" s="7" t="s">
        <v>280</v>
      </c>
      <c r="C6" s="7" t="s">
        <v>53</v>
      </c>
      <c r="D6" s="7" t="s">
        <v>54</v>
      </c>
      <c r="E6" s="9" t="str">
        <f>VLOOKUP($B6,담당자!$C:$D,2,FALSE)</f>
        <v>피재석</v>
      </c>
      <c r="F6" s="9" t="s">
        <v>326</v>
      </c>
      <c r="H6" s="16" t="s">
        <v>326</v>
      </c>
      <c r="I6" s="13">
        <f>COUNTIFS($E:$E,"피재석",$F:$F,"검토중")</f>
        <v>20</v>
      </c>
      <c r="J6" s="13">
        <f>COUNTIFS($E:$E,"정일환",$F:$F,"검토중")</f>
        <v>0</v>
      </c>
      <c r="K6" s="13">
        <f>COUNTIFS($E:$E,"정유림",$F:$F,"검토중")</f>
        <v>0</v>
      </c>
      <c r="L6" s="13">
        <f>COUNTIFS($E:$E,"김다은",$F:$F,"검토중")</f>
        <v>0</v>
      </c>
      <c r="M6" s="13">
        <f>COUNTIFS($E:$E,"정혜란",$F:$F,"검토중")</f>
        <v>0</v>
      </c>
    </row>
    <row r="7" spans="2:13" x14ac:dyDescent="0.4">
      <c r="B7" s="7" t="s">
        <v>280</v>
      </c>
      <c r="C7" s="7" t="s">
        <v>55</v>
      </c>
      <c r="D7" s="7" t="s">
        <v>56</v>
      </c>
      <c r="E7" s="9" t="str">
        <f>VLOOKUP($B7,담당자!$C:$D,2,FALSE)</f>
        <v>피재석</v>
      </c>
      <c r="F7" s="9" t="s">
        <v>326</v>
      </c>
      <c r="H7" s="17" t="s">
        <v>327</v>
      </c>
      <c r="I7" s="13">
        <f>COUNTIFS($E:$E,"피재석",$F:$F,"보류")</f>
        <v>0</v>
      </c>
      <c r="J7" s="13">
        <f>COUNTIFS($E:$E,"정일환",$F:$F,"보류")</f>
        <v>0</v>
      </c>
      <c r="K7" s="13">
        <f>COUNTIFS($E:$E,"정유림",$F:$F,"보류")</f>
        <v>0</v>
      </c>
      <c r="L7" s="13">
        <f>COUNTIFS($E:$E,"김다은",$F:$F,"보류")</f>
        <v>0</v>
      </c>
      <c r="M7" s="13">
        <f>COUNTIFS($E:$E,"정혜란",$F:$F,"보류")</f>
        <v>0</v>
      </c>
    </row>
    <row r="8" spans="2:13" x14ac:dyDescent="0.4">
      <c r="B8" s="7" t="s">
        <v>280</v>
      </c>
      <c r="C8" s="7" t="s">
        <v>121</v>
      </c>
      <c r="D8" s="7" t="s">
        <v>122</v>
      </c>
      <c r="E8" s="9" t="str">
        <f>VLOOKUP($B8,담당자!$C:$D,2,FALSE)</f>
        <v>피재석</v>
      </c>
      <c r="F8" s="9" t="s">
        <v>326</v>
      </c>
      <c r="H8" s="19" t="s">
        <v>328</v>
      </c>
      <c r="I8" s="19">
        <f>SUM(I3:I7)</f>
        <v>21</v>
      </c>
      <c r="J8" s="19">
        <f>SUM(J3:J7)</f>
        <v>0</v>
      </c>
      <c r="K8" s="19">
        <f>SUM(K3:K7)</f>
        <v>0</v>
      </c>
      <c r="L8" s="19">
        <f>SUM(L3:L7)</f>
        <v>0</v>
      </c>
      <c r="M8" s="19">
        <f>SUM(M3:M7)</f>
        <v>0</v>
      </c>
    </row>
    <row r="9" spans="2:13" x14ac:dyDescent="0.4">
      <c r="B9" s="7" t="s">
        <v>280</v>
      </c>
      <c r="C9" s="7" t="s">
        <v>123</v>
      </c>
      <c r="D9" s="7" t="s">
        <v>124</v>
      </c>
      <c r="E9" s="9" t="str">
        <f>VLOOKUP($B9,담당자!$C:$D,2,FALSE)</f>
        <v>피재석</v>
      </c>
      <c r="F9" s="9" t="s">
        <v>326</v>
      </c>
    </row>
    <row r="10" spans="2:13" x14ac:dyDescent="0.4">
      <c r="B10" s="7" t="s">
        <v>280</v>
      </c>
      <c r="C10" s="7" t="s">
        <v>125</v>
      </c>
      <c r="D10" s="7" t="s">
        <v>126</v>
      </c>
      <c r="E10" s="9" t="str">
        <f>VLOOKUP($B10,담당자!$C:$D,2,FALSE)</f>
        <v>피재석</v>
      </c>
      <c r="F10" s="9"/>
      <c r="G10" s="20" t="s">
        <v>329</v>
      </c>
    </row>
    <row r="11" spans="2:13" x14ac:dyDescent="0.4">
      <c r="B11" s="7" t="s">
        <v>287</v>
      </c>
      <c r="C11" s="7" t="s">
        <v>239</v>
      </c>
      <c r="D11" s="7" t="s">
        <v>240</v>
      </c>
      <c r="E11" s="9" t="str">
        <f>VLOOKUP($B11,담당자!$C:$D,2,FALSE)</f>
        <v>정일환</v>
      </c>
      <c r="F11" s="9"/>
    </row>
    <row r="12" spans="2:13" x14ac:dyDescent="0.4">
      <c r="B12" s="7" t="s">
        <v>287</v>
      </c>
      <c r="C12" s="7" t="s">
        <v>241</v>
      </c>
      <c r="D12" s="7" t="s">
        <v>242</v>
      </c>
      <c r="E12" s="9" t="str">
        <f>VLOOKUP($B12,담당자!$C:$D,2,FALSE)</f>
        <v>정일환</v>
      </c>
      <c r="F12" s="9"/>
    </row>
    <row r="13" spans="2:13" x14ac:dyDescent="0.4">
      <c r="B13" s="7" t="s">
        <v>287</v>
      </c>
      <c r="C13" s="7" t="s">
        <v>243</v>
      </c>
      <c r="D13" s="7" t="s">
        <v>244</v>
      </c>
      <c r="E13" s="9" t="str">
        <f>VLOOKUP($B13,담당자!$C:$D,2,FALSE)</f>
        <v>정일환</v>
      </c>
      <c r="F13" s="9"/>
    </row>
    <row r="14" spans="2:13" x14ac:dyDescent="0.4">
      <c r="B14" s="7" t="s">
        <v>287</v>
      </c>
      <c r="C14" s="7" t="s">
        <v>273</v>
      </c>
      <c r="D14" s="7" t="s">
        <v>274</v>
      </c>
      <c r="E14" s="9" t="str">
        <f>VLOOKUP($B14,담당자!$C:$D,2,FALSE)</f>
        <v>정일환</v>
      </c>
      <c r="F14" s="9"/>
    </row>
    <row r="15" spans="2:13" x14ac:dyDescent="0.4">
      <c r="B15" s="7" t="s">
        <v>287</v>
      </c>
      <c r="C15" s="7" t="s">
        <v>217</v>
      </c>
      <c r="D15" s="7" t="s">
        <v>218</v>
      </c>
      <c r="E15" s="9" t="str">
        <f>VLOOKUP($B15,담당자!$C:$D,2,FALSE)</f>
        <v>정일환</v>
      </c>
      <c r="F15" s="9"/>
    </row>
    <row r="16" spans="2:13" x14ac:dyDescent="0.4">
      <c r="B16" s="7" t="s">
        <v>312</v>
      </c>
      <c r="C16" s="7" t="s">
        <v>57</v>
      </c>
      <c r="D16" s="7" t="s">
        <v>58</v>
      </c>
      <c r="E16" s="9" t="str">
        <f>VLOOKUP($B16,담당자!$C:$D,2,FALSE)</f>
        <v>정유림</v>
      </c>
      <c r="F16" s="9"/>
    </row>
    <row r="17" spans="2:6" x14ac:dyDescent="0.4">
      <c r="B17" s="7" t="s">
        <v>312</v>
      </c>
      <c r="C17" s="7" t="s">
        <v>105</v>
      </c>
      <c r="D17" s="7" t="s">
        <v>106</v>
      </c>
      <c r="E17" s="9" t="str">
        <f>VLOOKUP($B17,담당자!$C:$D,2,FALSE)</f>
        <v>정유림</v>
      </c>
      <c r="F17" s="9"/>
    </row>
    <row r="18" spans="2:6" x14ac:dyDescent="0.4">
      <c r="B18" s="7" t="s">
        <v>312</v>
      </c>
      <c r="C18" s="7" t="s">
        <v>107</v>
      </c>
      <c r="D18" s="7" t="s">
        <v>108</v>
      </c>
      <c r="E18" s="9" t="str">
        <f>VLOOKUP($B18,담당자!$C:$D,2,FALSE)</f>
        <v>정유림</v>
      </c>
      <c r="F18" s="9"/>
    </row>
    <row r="19" spans="2:6" x14ac:dyDescent="0.4">
      <c r="B19" s="7" t="s">
        <v>312</v>
      </c>
      <c r="C19" s="7" t="s">
        <v>109</v>
      </c>
      <c r="D19" s="7" t="s">
        <v>110</v>
      </c>
      <c r="E19" s="9" t="str">
        <f>VLOOKUP($B19,담당자!$C:$D,2,FALSE)</f>
        <v>정유림</v>
      </c>
      <c r="F19" s="9"/>
    </row>
    <row r="20" spans="2:6" x14ac:dyDescent="0.4">
      <c r="B20" s="7" t="s">
        <v>312</v>
      </c>
      <c r="C20" s="7" t="s">
        <v>111</v>
      </c>
      <c r="D20" s="7" t="s">
        <v>112</v>
      </c>
      <c r="E20" s="9" t="str">
        <f>VLOOKUP($B20,담당자!$C:$D,2,FALSE)</f>
        <v>정유림</v>
      </c>
      <c r="F20" s="9"/>
    </row>
    <row r="21" spans="2:6" x14ac:dyDescent="0.4">
      <c r="B21" s="7" t="s">
        <v>312</v>
      </c>
      <c r="C21" s="7" t="s">
        <v>113</v>
      </c>
      <c r="D21" s="7" t="s">
        <v>114</v>
      </c>
      <c r="E21" s="9" t="str">
        <f>VLOOKUP($B21,담당자!$C:$D,2,FALSE)</f>
        <v>정유림</v>
      </c>
      <c r="F21" s="9"/>
    </row>
    <row r="22" spans="2:6" x14ac:dyDescent="0.4">
      <c r="B22" s="7" t="s">
        <v>312</v>
      </c>
      <c r="C22" s="7" t="s">
        <v>115</v>
      </c>
      <c r="D22" s="7" t="s">
        <v>116</v>
      </c>
      <c r="E22" s="9" t="str">
        <f>VLOOKUP($B22,담당자!$C:$D,2,FALSE)</f>
        <v>정유림</v>
      </c>
      <c r="F22" s="9"/>
    </row>
    <row r="23" spans="2:6" x14ac:dyDescent="0.4">
      <c r="B23" s="7" t="s">
        <v>312</v>
      </c>
      <c r="C23" s="7" t="s">
        <v>117</v>
      </c>
      <c r="D23" s="7" t="s">
        <v>118</v>
      </c>
      <c r="E23" s="9" t="str">
        <f>VLOOKUP($B23,담당자!$C:$D,2,FALSE)</f>
        <v>정유림</v>
      </c>
      <c r="F23" s="9"/>
    </row>
    <row r="24" spans="2:6" x14ac:dyDescent="0.4">
      <c r="B24" s="7" t="s">
        <v>293</v>
      </c>
      <c r="C24" s="7" t="s">
        <v>127</v>
      </c>
      <c r="D24" s="7" t="s">
        <v>128</v>
      </c>
      <c r="E24" s="9" t="str">
        <f>VLOOKUP($B24,담당자!$C:$D,2,FALSE)</f>
        <v>정유림</v>
      </c>
      <c r="F24" s="9"/>
    </row>
    <row r="25" spans="2:6" x14ac:dyDescent="0.4">
      <c r="B25" s="7" t="s">
        <v>293</v>
      </c>
      <c r="C25" s="7" t="s">
        <v>129</v>
      </c>
      <c r="D25" s="7" t="s">
        <v>130</v>
      </c>
      <c r="E25" s="9" t="str">
        <f>VLOOKUP($B25,담당자!$C:$D,2,FALSE)</f>
        <v>정유림</v>
      </c>
      <c r="F25" s="9"/>
    </row>
    <row r="26" spans="2:6" x14ac:dyDescent="0.4">
      <c r="B26" s="7" t="s">
        <v>293</v>
      </c>
      <c r="C26" s="7" t="s">
        <v>131</v>
      </c>
      <c r="D26" s="7" t="s">
        <v>132</v>
      </c>
      <c r="E26" s="9" t="str">
        <f>VLOOKUP($B26,담당자!$C:$D,2,FALSE)</f>
        <v>정유림</v>
      </c>
      <c r="F26" s="9"/>
    </row>
    <row r="27" spans="2:6" x14ac:dyDescent="0.4">
      <c r="B27" s="7" t="s">
        <v>293</v>
      </c>
      <c r="C27" s="7" t="s">
        <v>133</v>
      </c>
      <c r="D27" s="7" t="s">
        <v>134</v>
      </c>
      <c r="E27" s="9" t="str">
        <f>VLOOKUP($B27,담당자!$C:$D,2,FALSE)</f>
        <v>정유림</v>
      </c>
      <c r="F27" s="9"/>
    </row>
    <row r="28" spans="2:6" x14ac:dyDescent="0.4">
      <c r="B28" s="7" t="s">
        <v>293</v>
      </c>
      <c r="C28" s="7" t="s">
        <v>135</v>
      </c>
      <c r="D28" s="7" t="s">
        <v>136</v>
      </c>
      <c r="E28" s="9" t="str">
        <f>VLOOKUP($B28,담당자!$C:$D,2,FALSE)</f>
        <v>정유림</v>
      </c>
      <c r="F28" s="9"/>
    </row>
    <row r="29" spans="2:6" x14ac:dyDescent="0.4">
      <c r="B29" s="7" t="s">
        <v>293</v>
      </c>
      <c r="C29" s="7" t="s">
        <v>137</v>
      </c>
      <c r="D29" s="7" t="s">
        <v>138</v>
      </c>
      <c r="E29" s="9" t="str">
        <f>VLOOKUP($B29,담당자!$C:$D,2,FALSE)</f>
        <v>정유림</v>
      </c>
      <c r="F29" s="9"/>
    </row>
    <row r="30" spans="2:6" x14ac:dyDescent="0.4">
      <c r="B30" s="7" t="s">
        <v>293</v>
      </c>
      <c r="C30" s="7" t="s">
        <v>139</v>
      </c>
      <c r="D30" s="7" t="s">
        <v>140</v>
      </c>
      <c r="E30" s="9" t="str">
        <f>VLOOKUP($B30,담당자!$C:$D,2,FALSE)</f>
        <v>정유림</v>
      </c>
      <c r="F30" s="9"/>
    </row>
    <row r="31" spans="2:6" x14ac:dyDescent="0.4">
      <c r="B31" s="7" t="s">
        <v>293</v>
      </c>
      <c r="C31" s="7" t="s">
        <v>141</v>
      </c>
      <c r="D31" s="7" t="s">
        <v>142</v>
      </c>
      <c r="E31" s="9" t="str">
        <f>VLOOKUP($B31,담당자!$C:$D,2,FALSE)</f>
        <v>정유림</v>
      </c>
      <c r="F31" s="9"/>
    </row>
    <row r="32" spans="2:6" x14ac:dyDescent="0.4">
      <c r="B32" s="7" t="s">
        <v>293</v>
      </c>
      <c r="C32" s="7" t="s">
        <v>143</v>
      </c>
      <c r="D32" s="7" t="s">
        <v>144</v>
      </c>
      <c r="E32" s="9" t="str">
        <f>VLOOKUP($B32,담당자!$C:$D,2,FALSE)</f>
        <v>정유림</v>
      </c>
      <c r="F32" s="9"/>
    </row>
    <row r="33" spans="2:6" x14ac:dyDescent="0.4">
      <c r="B33" s="7" t="s">
        <v>293</v>
      </c>
      <c r="C33" s="7" t="s">
        <v>145</v>
      </c>
      <c r="D33" s="7" t="s">
        <v>146</v>
      </c>
      <c r="E33" s="9" t="str">
        <f>VLOOKUP($B33,담당자!$C:$D,2,FALSE)</f>
        <v>정유림</v>
      </c>
      <c r="F33" s="9"/>
    </row>
    <row r="34" spans="2:6" x14ac:dyDescent="0.4">
      <c r="B34" s="7" t="s">
        <v>293</v>
      </c>
      <c r="C34" s="7" t="s">
        <v>147</v>
      </c>
      <c r="D34" s="7" t="s">
        <v>148</v>
      </c>
      <c r="E34" s="9" t="str">
        <f>VLOOKUP($B34,담당자!$C:$D,2,FALSE)</f>
        <v>정유림</v>
      </c>
      <c r="F34" s="9"/>
    </row>
    <row r="35" spans="2:6" x14ac:dyDescent="0.4">
      <c r="B35" s="7" t="s">
        <v>293</v>
      </c>
      <c r="C35" s="7" t="s">
        <v>149</v>
      </c>
      <c r="D35" s="7" t="s">
        <v>150</v>
      </c>
      <c r="E35" s="9" t="str">
        <f>VLOOKUP($B35,담당자!$C:$D,2,FALSE)</f>
        <v>정유림</v>
      </c>
      <c r="F35" s="9"/>
    </row>
    <row r="36" spans="2:6" x14ac:dyDescent="0.4">
      <c r="B36" s="7" t="s">
        <v>293</v>
      </c>
      <c r="C36" s="7" t="s">
        <v>151</v>
      </c>
      <c r="D36" s="7" t="s">
        <v>152</v>
      </c>
      <c r="E36" s="9" t="str">
        <f>VLOOKUP($B36,담당자!$C:$D,2,FALSE)</f>
        <v>정유림</v>
      </c>
      <c r="F36" s="9"/>
    </row>
    <row r="37" spans="2:6" x14ac:dyDescent="0.4">
      <c r="B37" s="7" t="s">
        <v>286</v>
      </c>
      <c r="C37" s="7" t="s">
        <v>59</v>
      </c>
      <c r="D37" s="7" t="s">
        <v>60</v>
      </c>
      <c r="E37" s="9" t="str">
        <f>VLOOKUP($B37,담당자!$C:$D,2,FALSE)</f>
        <v>피재석</v>
      </c>
      <c r="F37" s="9" t="s">
        <v>326</v>
      </c>
    </row>
    <row r="38" spans="2:6" x14ac:dyDescent="0.4">
      <c r="B38" s="7" t="s">
        <v>286</v>
      </c>
      <c r="C38" s="7" t="s">
        <v>197</v>
      </c>
      <c r="D38" s="7" t="s">
        <v>198</v>
      </c>
      <c r="E38" s="9" t="str">
        <f>VLOOKUP($B38,담당자!$C:$D,2,FALSE)</f>
        <v>피재석</v>
      </c>
      <c r="F38" s="9" t="s">
        <v>326</v>
      </c>
    </row>
    <row r="39" spans="2:6" x14ac:dyDescent="0.4">
      <c r="B39" s="7" t="s">
        <v>286</v>
      </c>
      <c r="C39" s="7" t="s">
        <v>199</v>
      </c>
      <c r="D39" s="7" t="s">
        <v>200</v>
      </c>
      <c r="E39" s="9" t="str">
        <f>VLOOKUP($B39,담당자!$C:$D,2,FALSE)</f>
        <v>피재석</v>
      </c>
      <c r="F39" s="9" t="s">
        <v>326</v>
      </c>
    </row>
    <row r="40" spans="2:6" x14ac:dyDescent="0.4">
      <c r="B40" s="7" t="s">
        <v>286</v>
      </c>
      <c r="C40" s="7" t="s">
        <v>235</v>
      </c>
      <c r="D40" s="7" t="s">
        <v>236</v>
      </c>
      <c r="E40" s="9" t="str">
        <f>VLOOKUP($B40,담당자!$C:$D,2,FALSE)</f>
        <v>피재석</v>
      </c>
      <c r="F40" s="9" t="s">
        <v>326</v>
      </c>
    </row>
    <row r="41" spans="2:6" x14ac:dyDescent="0.4">
      <c r="B41" s="7" t="s">
        <v>286</v>
      </c>
      <c r="C41" s="7" t="s">
        <v>15</v>
      </c>
      <c r="D41" s="7" t="s">
        <v>16</v>
      </c>
      <c r="E41" s="9" t="str">
        <f>VLOOKUP($B41,담당자!$C:$D,2,FALSE)</f>
        <v>피재석</v>
      </c>
      <c r="F41" s="9" t="s">
        <v>326</v>
      </c>
    </row>
    <row r="42" spans="2:6" x14ac:dyDescent="0.4">
      <c r="B42" s="7" t="s">
        <v>286</v>
      </c>
      <c r="C42" s="7" t="s">
        <v>17</v>
      </c>
      <c r="D42" s="7" t="s">
        <v>18</v>
      </c>
      <c r="E42" s="9" t="str">
        <f>VLOOKUP($B42,담당자!$C:$D,2,FALSE)</f>
        <v>피재석</v>
      </c>
      <c r="F42" s="9" t="s">
        <v>326</v>
      </c>
    </row>
    <row r="43" spans="2:6" x14ac:dyDescent="0.4">
      <c r="B43" s="7" t="s">
        <v>297</v>
      </c>
      <c r="C43" s="7" t="s">
        <v>245</v>
      </c>
      <c r="D43" s="7" t="s">
        <v>246</v>
      </c>
      <c r="E43" s="9" t="s">
        <v>8</v>
      </c>
      <c r="F43" s="9"/>
    </row>
    <row r="44" spans="2:6" x14ac:dyDescent="0.4">
      <c r="B44" s="7" t="s">
        <v>297</v>
      </c>
      <c r="C44" s="7" t="s">
        <v>253</v>
      </c>
      <c r="D44" s="7" t="s">
        <v>254</v>
      </c>
      <c r="E44" s="9" t="s">
        <v>6</v>
      </c>
      <c r="F44" s="9"/>
    </row>
    <row r="45" spans="2:6" x14ac:dyDescent="0.4">
      <c r="B45" s="7" t="s">
        <v>297</v>
      </c>
      <c r="C45" s="7" t="s">
        <v>269</v>
      </c>
      <c r="D45" s="7" t="s">
        <v>270</v>
      </c>
      <c r="E45" s="9" t="s">
        <v>8</v>
      </c>
      <c r="F45" s="9"/>
    </row>
    <row r="46" spans="2:6" x14ac:dyDescent="0.4">
      <c r="B46" s="7" t="s">
        <v>297</v>
      </c>
      <c r="C46" s="7" t="s">
        <v>271</v>
      </c>
      <c r="D46" s="7" t="s">
        <v>272</v>
      </c>
      <c r="E46" s="9" t="s">
        <v>8</v>
      </c>
      <c r="F46" s="9"/>
    </row>
    <row r="47" spans="2:6" x14ac:dyDescent="0.4">
      <c r="B47" s="7" t="s">
        <v>297</v>
      </c>
      <c r="C47" s="7" t="s">
        <v>219</v>
      </c>
      <c r="D47" s="7" t="s">
        <v>220</v>
      </c>
      <c r="E47" s="9" t="s">
        <v>8</v>
      </c>
      <c r="F47" s="9"/>
    </row>
    <row r="48" spans="2:6" x14ac:dyDescent="0.4">
      <c r="B48" s="7" t="s">
        <v>297</v>
      </c>
      <c r="C48" s="7" t="s">
        <v>223</v>
      </c>
      <c r="D48" s="7" t="s">
        <v>224</v>
      </c>
      <c r="E48" s="9" t="s">
        <v>12</v>
      </c>
      <c r="F48" s="9"/>
    </row>
    <row r="49" spans="2:6" x14ac:dyDescent="0.4">
      <c r="B49" s="7" t="s">
        <v>297</v>
      </c>
      <c r="C49" s="7" t="s">
        <v>225</v>
      </c>
      <c r="D49" s="7" t="s">
        <v>226</v>
      </c>
      <c r="E49" s="9" t="s">
        <v>12</v>
      </c>
      <c r="F49" s="9"/>
    </row>
    <row r="50" spans="2:6" x14ac:dyDescent="0.4">
      <c r="B50" s="7" t="s">
        <v>297</v>
      </c>
      <c r="C50" s="7" t="s">
        <v>227</v>
      </c>
      <c r="D50" s="7" t="s">
        <v>228</v>
      </c>
      <c r="E50" s="9" t="s">
        <v>12</v>
      </c>
      <c r="F50" s="9"/>
    </row>
    <row r="51" spans="2:6" x14ac:dyDescent="0.4">
      <c r="B51" s="7" t="s">
        <v>297</v>
      </c>
      <c r="C51" s="7" t="s">
        <v>229</v>
      </c>
      <c r="D51" s="7" t="s">
        <v>230</v>
      </c>
      <c r="E51" s="9" t="s">
        <v>12</v>
      </c>
      <c r="F51" s="9"/>
    </row>
    <row r="52" spans="2:6" x14ac:dyDescent="0.4">
      <c r="B52" s="7" t="s">
        <v>297</v>
      </c>
      <c r="C52" s="7" t="s">
        <v>231</v>
      </c>
      <c r="D52" s="7" t="s">
        <v>232</v>
      </c>
      <c r="E52" s="9" t="s">
        <v>12</v>
      </c>
      <c r="F52" s="9"/>
    </row>
    <row r="53" spans="2:6" x14ac:dyDescent="0.4">
      <c r="B53" s="7" t="s">
        <v>279</v>
      </c>
      <c r="C53" s="7" t="s">
        <v>265</v>
      </c>
      <c r="D53" s="7" t="s">
        <v>266</v>
      </c>
      <c r="E53" s="9" t="str">
        <f>VLOOKUP($B53,담당자!$C:$D,2,FALSE)</f>
        <v>정일환</v>
      </c>
      <c r="F53" s="9"/>
    </row>
    <row r="54" spans="2:6" x14ac:dyDescent="0.4">
      <c r="B54" s="7" t="s">
        <v>279</v>
      </c>
      <c r="C54" s="7" t="s">
        <v>267</v>
      </c>
      <c r="D54" s="7" t="s">
        <v>268</v>
      </c>
      <c r="E54" s="9" t="str">
        <f>VLOOKUP($B54,담당자!$C:$D,2,FALSE)</f>
        <v>정일환</v>
      </c>
      <c r="F54" s="9"/>
    </row>
    <row r="55" spans="2:6" x14ac:dyDescent="0.4">
      <c r="B55" s="7" t="s">
        <v>279</v>
      </c>
      <c r="C55" s="7" t="s">
        <v>21</v>
      </c>
      <c r="D55" s="7" t="s">
        <v>22</v>
      </c>
      <c r="E55" s="9" t="str">
        <f>VLOOKUP($B55,담당자!$C:$D,2,FALSE)</f>
        <v>정일환</v>
      </c>
      <c r="F55" s="9"/>
    </row>
    <row r="56" spans="2:6" x14ac:dyDescent="0.4">
      <c r="B56" s="7" t="s">
        <v>279</v>
      </c>
      <c r="C56" s="7" t="s">
        <v>23</v>
      </c>
      <c r="D56" s="7" t="s">
        <v>24</v>
      </c>
      <c r="E56" s="9" t="str">
        <f>VLOOKUP($B56,담당자!$C:$D,2,FALSE)</f>
        <v>정일환</v>
      </c>
      <c r="F56" s="9"/>
    </row>
    <row r="57" spans="2:6" x14ac:dyDescent="0.4">
      <c r="B57" s="7" t="s">
        <v>279</v>
      </c>
      <c r="C57" s="7" t="s">
        <v>47</v>
      </c>
      <c r="D57" s="7" t="s">
        <v>48</v>
      </c>
      <c r="E57" s="9" t="str">
        <f>VLOOKUP($B57,담당자!$C:$D,2,FALSE)</f>
        <v>정일환</v>
      </c>
      <c r="F57" s="9"/>
    </row>
    <row r="58" spans="2:6" x14ac:dyDescent="0.4">
      <c r="B58" s="7" t="s">
        <v>279</v>
      </c>
      <c r="C58" s="7" t="s">
        <v>83</v>
      </c>
      <c r="D58" s="7" t="s">
        <v>84</v>
      </c>
      <c r="E58" s="9" t="str">
        <f>VLOOKUP($B58,담당자!$C:$D,2,FALSE)</f>
        <v>정일환</v>
      </c>
      <c r="F58" s="9"/>
    </row>
    <row r="59" spans="2:6" x14ac:dyDescent="0.4">
      <c r="B59" s="7" t="s">
        <v>279</v>
      </c>
      <c r="C59" s="7" t="s">
        <v>89</v>
      </c>
      <c r="D59" s="7" t="s">
        <v>90</v>
      </c>
      <c r="E59" s="9" t="str">
        <f>VLOOKUP($B59,담당자!$C:$D,2,FALSE)</f>
        <v>정일환</v>
      </c>
      <c r="F59" s="9"/>
    </row>
    <row r="60" spans="2:6" x14ac:dyDescent="0.4">
      <c r="B60" s="7" t="s">
        <v>279</v>
      </c>
      <c r="C60" s="7" t="s">
        <v>119</v>
      </c>
      <c r="D60" s="7" t="s">
        <v>120</v>
      </c>
      <c r="E60" s="9" t="str">
        <f>VLOOKUP($B60,담당자!$C:$D,2,FALSE)</f>
        <v>정일환</v>
      </c>
      <c r="F60" s="9"/>
    </row>
    <row r="61" spans="2:6" x14ac:dyDescent="0.4">
      <c r="B61" s="7" t="s">
        <v>284</v>
      </c>
      <c r="C61" s="7" t="s">
        <v>91</v>
      </c>
      <c r="D61" s="7" t="s">
        <v>92</v>
      </c>
      <c r="E61" s="9" t="str">
        <f>VLOOKUP($B61,담당자!$C:$D,2,FALSE)</f>
        <v>정유림</v>
      </c>
      <c r="F61" s="9"/>
    </row>
    <row r="62" spans="2:6" x14ac:dyDescent="0.4">
      <c r="B62" s="7" t="s">
        <v>284</v>
      </c>
      <c r="C62" s="7" t="s">
        <v>93</v>
      </c>
      <c r="D62" s="7" t="s">
        <v>94</v>
      </c>
      <c r="E62" s="9" t="str">
        <f>VLOOKUP($B62,담당자!$C:$D,2,FALSE)</f>
        <v>정유림</v>
      </c>
      <c r="F62" s="9"/>
    </row>
    <row r="63" spans="2:6" x14ac:dyDescent="0.4">
      <c r="B63" s="7" t="s">
        <v>284</v>
      </c>
      <c r="C63" s="7" t="s">
        <v>95</v>
      </c>
      <c r="D63" s="7" t="s">
        <v>96</v>
      </c>
      <c r="E63" s="9" t="str">
        <f>VLOOKUP($B63,담당자!$C:$D,2,FALSE)</f>
        <v>정유림</v>
      </c>
      <c r="F63" s="9"/>
    </row>
    <row r="64" spans="2:6" x14ac:dyDescent="0.4">
      <c r="B64" s="7" t="s">
        <v>284</v>
      </c>
      <c r="C64" s="7" t="s">
        <v>97</v>
      </c>
      <c r="D64" s="7" t="s">
        <v>98</v>
      </c>
      <c r="E64" s="9" t="str">
        <f>VLOOKUP($B64,담당자!$C:$D,2,FALSE)</f>
        <v>정유림</v>
      </c>
      <c r="F64" s="9"/>
    </row>
    <row r="65" spans="2:6" x14ac:dyDescent="0.4">
      <c r="B65" s="7" t="s">
        <v>284</v>
      </c>
      <c r="C65" s="7" t="s">
        <v>99</v>
      </c>
      <c r="D65" s="7" t="s">
        <v>100</v>
      </c>
      <c r="E65" s="9" t="str">
        <f>VLOOKUP($B65,담당자!$C:$D,2,FALSE)</f>
        <v>정유림</v>
      </c>
      <c r="F65" s="9"/>
    </row>
    <row r="66" spans="2:6" x14ac:dyDescent="0.4">
      <c r="B66" s="7" t="s">
        <v>284</v>
      </c>
      <c r="C66" s="7" t="s">
        <v>101</v>
      </c>
      <c r="D66" s="7" t="s">
        <v>102</v>
      </c>
      <c r="E66" s="9" t="str">
        <f>VLOOKUP($B66,담당자!$C:$D,2,FALSE)</f>
        <v>정유림</v>
      </c>
      <c r="F66" s="9"/>
    </row>
    <row r="67" spans="2:6" x14ac:dyDescent="0.4">
      <c r="B67" s="7" t="s">
        <v>284</v>
      </c>
      <c r="C67" s="7" t="s">
        <v>221</v>
      </c>
      <c r="D67" s="7" t="s">
        <v>222</v>
      </c>
      <c r="E67" s="9" t="str">
        <f>VLOOKUP($B67,담당자!$C:$D,2,FALSE)</f>
        <v>정유림</v>
      </c>
      <c r="F67" s="9"/>
    </row>
    <row r="68" spans="2:6" x14ac:dyDescent="0.4">
      <c r="B68" s="7" t="s">
        <v>281</v>
      </c>
      <c r="C68" s="7" t="s">
        <v>37</v>
      </c>
      <c r="D68" s="7" t="s">
        <v>38</v>
      </c>
      <c r="E68" s="9" t="str">
        <f>VLOOKUP($B68,담당자!$C:$D,2,FALSE)</f>
        <v>피재석</v>
      </c>
      <c r="F68" s="9" t="s">
        <v>326</v>
      </c>
    </row>
    <row r="69" spans="2:6" x14ac:dyDescent="0.4">
      <c r="B69" s="7" t="s">
        <v>281</v>
      </c>
      <c r="C69" s="7" t="s">
        <v>39</v>
      </c>
      <c r="D69" s="7" t="s">
        <v>40</v>
      </c>
      <c r="E69" s="9" t="str">
        <f>VLOOKUP($B69,담당자!$C:$D,2,FALSE)</f>
        <v>피재석</v>
      </c>
      <c r="F69" s="9" t="s">
        <v>326</v>
      </c>
    </row>
    <row r="70" spans="2:6" x14ac:dyDescent="0.4">
      <c r="B70" s="7" t="s">
        <v>281</v>
      </c>
      <c r="C70" s="7" t="s">
        <v>41</v>
      </c>
      <c r="D70" s="7" t="s">
        <v>42</v>
      </c>
      <c r="E70" s="9" t="str">
        <f>VLOOKUP($B70,담당자!$C:$D,2,FALSE)</f>
        <v>피재석</v>
      </c>
      <c r="F70" s="9" t="s">
        <v>326</v>
      </c>
    </row>
    <row r="71" spans="2:6" x14ac:dyDescent="0.4">
      <c r="B71" s="7" t="s">
        <v>281</v>
      </c>
      <c r="C71" s="7" t="s">
        <v>43</v>
      </c>
      <c r="D71" s="7" t="s">
        <v>44</v>
      </c>
      <c r="E71" s="9" t="str">
        <f>VLOOKUP($B71,담당자!$C:$D,2,FALSE)</f>
        <v>피재석</v>
      </c>
      <c r="F71" s="9" t="s">
        <v>326</v>
      </c>
    </row>
    <row r="72" spans="2:6" x14ac:dyDescent="0.4">
      <c r="B72" s="7" t="s">
        <v>281</v>
      </c>
      <c r="C72" s="7" t="s">
        <v>79</v>
      </c>
      <c r="D72" s="7" t="s">
        <v>80</v>
      </c>
      <c r="E72" s="9" t="str">
        <f>VLOOKUP($B72,담당자!$C:$D,2,FALSE)</f>
        <v>피재석</v>
      </c>
      <c r="F72" s="9" t="s">
        <v>326</v>
      </c>
    </row>
    <row r="73" spans="2:6" x14ac:dyDescent="0.4">
      <c r="B73" s="7" t="s">
        <v>281</v>
      </c>
      <c r="C73" s="7" t="s">
        <v>205</v>
      </c>
      <c r="D73" s="7" t="s">
        <v>206</v>
      </c>
      <c r="E73" s="9" t="str">
        <f>VLOOKUP($B73,담당자!$C:$D,2,FALSE)</f>
        <v>피재석</v>
      </c>
      <c r="F73" s="9" t="s">
        <v>326</v>
      </c>
    </row>
    <row r="74" spans="2:6" x14ac:dyDescent="0.4">
      <c r="B74" s="7" t="s">
        <v>281</v>
      </c>
      <c r="C74" s="7" t="s">
        <v>211</v>
      </c>
      <c r="D74" s="7" t="s">
        <v>212</v>
      </c>
      <c r="E74" s="9" t="str">
        <f>VLOOKUP($B74,담당자!$C:$D,2,FALSE)</f>
        <v>피재석</v>
      </c>
      <c r="F74" s="9" t="s">
        <v>326</v>
      </c>
    </row>
    <row r="75" spans="2:6" x14ac:dyDescent="0.4">
      <c r="B75" s="7" t="s">
        <v>281</v>
      </c>
      <c r="C75" s="7" t="s">
        <v>213</v>
      </c>
      <c r="D75" s="7" t="s">
        <v>214</v>
      </c>
      <c r="E75" s="9" t="str">
        <f>VLOOKUP($B75,담당자!$C:$D,2,FALSE)</f>
        <v>피재석</v>
      </c>
      <c r="F75" s="9" t="s">
        <v>326</v>
      </c>
    </row>
    <row r="76" spans="2:6" x14ac:dyDescent="0.4">
      <c r="B76" s="7" t="s">
        <v>283</v>
      </c>
      <c r="C76" s="7" t="s">
        <v>255</v>
      </c>
      <c r="D76" s="7" t="s">
        <v>256</v>
      </c>
      <c r="E76" s="9" t="str">
        <f>VLOOKUP($B76,담당자!$C:$D,2,FALSE)</f>
        <v>김다은</v>
      </c>
      <c r="F76" s="9"/>
    </row>
    <row r="77" spans="2:6" x14ac:dyDescent="0.4">
      <c r="B77" s="7" t="s">
        <v>283</v>
      </c>
      <c r="C77" s="7" t="s">
        <v>257</v>
      </c>
      <c r="D77" s="7" t="s">
        <v>258</v>
      </c>
      <c r="E77" s="9" t="str">
        <f>VLOOKUP($B77,담당자!$C:$D,2,FALSE)</f>
        <v>김다은</v>
      </c>
      <c r="F77" s="9"/>
    </row>
    <row r="78" spans="2:6" x14ac:dyDescent="0.4">
      <c r="B78" s="7" t="s">
        <v>283</v>
      </c>
      <c r="C78" s="7" t="s">
        <v>259</v>
      </c>
      <c r="D78" s="7" t="s">
        <v>260</v>
      </c>
      <c r="E78" s="9" t="str">
        <f>VLOOKUP($B78,담당자!$C:$D,2,FALSE)</f>
        <v>김다은</v>
      </c>
      <c r="F78" s="9"/>
    </row>
    <row r="79" spans="2:6" x14ac:dyDescent="0.4">
      <c r="B79" s="7" t="s">
        <v>283</v>
      </c>
      <c r="C79" s="7" t="s">
        <v>261</v>
      </c>
      <c r="D79" s="7" t="s">
        <v>262</v>
      </c>
      <c r="E79" s="9" t="str">
        <f>VLOOKUP($B79,담당자!$C:$D,2,FALSE)</f>
        <v>김다은</v>
      </c>
      <c r="F79" s="9"/>
    </row>
    <row r="80" spans="2:6" x14ac:dyDescent="0.4">
      <c r="B80" s="7" t="s">
        <v>283</v>
      </c>
      <c r="C80" s="7" t="s">
        <v>263</v>
      </c>
      <c r="D80" s="7" t="s">
        <v>264</v>
      </c>
      <c r="E80" s="9" t="str">
        <f>VLOOKUP($B80,담당자!$C:$D,2,FALSE)</f>
        <v>김다은</v>
      </c>
      <c r="F80" s="9"/>
    </row>
    <row r="81" spans="2:6" x14ac:dyDescent="0.4">
      <c r="B81" s="7" t="s">
        <v>283</v>
      </c>
      <c r="C81" s="7" t="s">
        <v>85</v>
      </c>
      <c r="D81" s="7" t="s">
        <v>86</v>
      </c>
      <c r="E81" s="9" t="str">
        <f>VLOOKUP($B81,담당자!$C:$D,2,FALSE)</f>
        <v>김다은</v>
      </c>
      <c r="F81" s="9"/>
    </row>
    <row r="82" spans="2:6" x14ac:dyDescent="0.4">
      <c r="B82" s="7" t="s">
        <v>283</v>
      </c>
      <c r="C82" s="7" t="s">
        <v>233</v>
      </c>
      <c r="D82" s="7" t="s">
        <v>234</v>
      </c>
      <c r="E82" s="9" t="str">
        <f>VLOOKUP($B82,담당자!$C:$D,2,FALSE)</f>
        <v>김다은</v>
      </c>
      <c r="F82" s="9"/>
    </row>
    <row r="83" spans="2:6" x14ac:dyDescent="0.4">
      <c r="B83" s="7" t="s">
        <v>295</v>
      </c>
      <c r="C83" s="7" t="s">
        <v>247</v>
      </c>
      <c r="D83" s="7" t="s">
        <v>248</v>
      </c>
      <c r="E83" s="9" t="str">
        <f>VLOOKUP($B83,담당자!$C:$D,2,FALSE)</f>
        <v>정일환</v>
      </c>
      <c r="F83" s="9"/>
    </row>
    <row r="84" spans="2:6" x14ac:dyDescent="0.4">
      <c r="B84" s="7" t="s">
        <v>295</v>
      </c>
      <c r="C84" s="7" t="s">
        <v>249</v>
      </c>
      <c r="D84" s="7" t="s">
        <v>250</v>
      </c>
      <c r="E84" s="9" t="str">
        <f>VLOOKUP($B84,담당자!$C:$D,2,FALSE)</f>
        <v>정일환</v>
      </c>
      <c r="F84" s="9"/>
    </row>
    <row r="85" spans="2:6" x14ac:dyDescent="0.4">
      <c r="B85" s="7" t="s">
        <v>295</v>
      </c>
      <c r="C85" s="7" t="s">
        <v>251</v>
      </c>
      <c r="D85" s="7" t="s">
        <v>252</v>
      </c>
      <c r="E85" s="9" t="str">
        <f>VLOOKUP($B85,담당자!$C:$D,2,FALSE)</f>
        <v>정일환</v>
      </c>
      <c r="F85" s="9"/>
    </row>
    <row r="86" spans="2:6" x14ac:dyDescent="0.4">
      <c r="B86" s="7" t="s">
        <v>295</v>
      </c>
      <c r="C86" s="7" t="s">
        <v>67</v>
      </c>
      <c r="D86" s="7" t="s">
        <v>68</v>
      </c>
      <c r="E86" s="9" t="str">
        <f>VLOOKUP($B86,담당자!$C:$D,2,FALSE)</f>
        <v>정일환</v>
      </c>
      <c r="F86" s="9"/>
    </row>
    <row r="87" spans="2:6" x14ac:dyDescent="0.4">
      <c r="B87" s="7" t="s">
        <v>295</v>
      </c>
      <c r="C87" s="7" t="s">
        <v>69</v>
      </c>
      <c r="D87" s="7" t="s">
        <v>70</v>
      </c>
      <c r="E87" s="9" t="str">
        <f>VLOOKUP($B87,담당자!$C:$D,2,FALSE)</f>
        <v>정일환</v>
      </c>
      <c r="F87" s="9"/>
    </row>
    <row r="88" spans="2:6" x14ac:dyDescent="0.4">
      <c r="B88" s="7" t="s">
        <v>295</v>
      </c>
      <c r="C88" s="7" t="s">
        <v>71</v>
      </c>
      <c r="D88" s="7" t="s">
        <v>72</v>
      </c>
      <c r="E88" s="9" t="str">
        <f>VLOOKUP($B88,담당자!$C:$D,2,FALSE)</f>
        <v>정일환</v>
      </c>
      <c r="F88" s="9"/>
    </row>
    <row r="89" spans="2:6" x14ac:dyDescent="0.4">
      <c r="B89" s="7" t="s">
        <v>295</v>
      </c>
      <c r="C89" s="7" t="s">
        <v>73</v>
      </c>
      <c r="D89" s="7" t="s">
        <v>74</v>
      </c>
      <c r="E89" s="9" t="str">
        <f>VLOOKUP($B89,담당자!$C:$D,2,FALSE)</f>
        <v>정일환</v>
      </c>
      <c r="F89" s="9"/>
    </row>
    <row r="90" spans="2:6" x14ac:dyDescent="0.4">
      <c r="B90" s="7" t="s">
        <v>295</v>
      </c>
      <c r="C90" s="7" t="s">
        <v>75</v>
      </c>
      <c r="D90" s="7" t="s">
        <v>76</v>
      </c>
      <c r="E90" s="9" t="str">
        <f>VLOOKUP($B90,담당자!$C:$D,2,FALSE)</f>
        <v>정일환</v>
      </c>
      <c r="F90" s="9"/>
    </row>
    <row r="91" spans="2:6" x14ac:dyDescent="0.4">
      <c r="B91" s="7" t="s">
        <v>295</v>
      </c>
      <c r="C91" s="7" t="s">
        <v>77</v>
      </c>
      <c r="D91" s="7" t="s">
        <v>78</v>
      </c>
      <c r="E91" s="9" t="str">
        <f>VLOOKUP($B91,담당자!$C:$D,2,FALSE)</f>
        <v>정일환</v>
      </c>
      <c r="F91" s="9"/>
    </row>
    <row r="92" spans="2:6" x14ac:dyDescent="0.4">
      <c r="B92" s="7" t="s">
        <v>295</v>
      </c>
      <c r="C92" s="7" t="s">
        <v>81</v>
      </c>
      <c r="D92" s="7" t="s">
        <v>82</v>
      </c>
      <c r="E92" s="9" t="str">
        <f>VLOOKUP($B92,담당자!$C:$D,2,FALSE)</f>
        <v>정일환</v>
      </c>
      <c r="F92" s="9"/>
    </row>
    <row r="93" spans="2:6" x14ac:dyDescent="0.4">
      <c r="B93" s="7" t="s">
        <v>313</v>
      </c>
      <c r="C93" s="7" t="s">
        <v>19</v>
      </c>
      <c r="D93" s="7" t="s">
        <v>20</v>
      </c>
      <c r="E93" s="9" t="str">
        <f>VLOOKUP($B93,담당자!$C:$D,2,FALSE)</f>
        <v>김다은</v>
      </c>
      <c r="F93" s="9"/>
    </row>
    <row r="94" spans="2:6" x14ac:dyDescent="0.4">
      <c r="B94" s="7" t="s">
        <v>313</v>
      </c>
      <c r="C94" s="7" t="s">
        <v>27</v>
      </c>
      <c r="D94" s="7" t="s">
        <v>28</v>
      </c>
      <c r="E94" s="9" t="str">
        <f>VLOOKUP($B94,담당자!$C:$D,2,FALSE)</f>
        <v>김다은</v>
      </c>
      <c r="F94" s="9"/>
    </row>
    <row r="95" spans="2:6" x14ac:dyDescent="0.4">
      <c r="B95" s="7" t="s">
        <v>313</v>
      </c>
      <c r="C95" s="7" t="s">
        <v>29</v>
      </c>
      <c r="D95" s="7" t="s">
        <v>30</v>
      </c>
      <c r="E95" s="9" t="str">
        <f>VLOOKUP($B95,담당자!$C:$D,2,FALSE)</f>
        <v>김다은</v>
      </c>
      <c r="F95" s="9"/>
    </row>
    <row r="96" spans="2:6" x14ac:dyDescent="0.4">
      <c r="B96" s="7" t="s">
        <v>313</v>
      </c>
      <c r="C96" s="7" t="s">
        <v>31</v>
      </c>
      <c r="D96" s="7" t="s">
        <v>32</v>
      </c>
      <c r="E96" s="9" t="str">
        <f>VLOOKUP($B96,담당자!$C:$D,2,FALSE)</f>
        <v>김다은</v>
      </c>
      <c r="F96" s="9"/>
    </row>
    <row r="97" spans="2:6" x14ac:dyDescent="0.4">
      <c r="B97" s="7" t="s">
        <v>313</v>
      </c>
      <c r="C97" s="7" t="s">
        <v>45</v>
      </c>
      <c r="D97" s="7" t="s">
        <v>46</v>
      </c>
      <c r="E97" s="9" t="str">
        <f>VLOOKUP($B97,담당자!$C:$D,2,FALSE)</f>
        <v>김다은</v>
      </c>
      <c r="F97" s="9"/>
    </row>
    <row r="98" spans="2:6" x14ac:dyDescent="0.4">
      <c r="B98" s="7" t="s">
        <v>313</v>
      </c>
      <c r="C98" s="7" t="s">
        <v>61</v>
      </c>
      <c r="D98" s="7" t="s">
        <v>62</v>
      </c>
      <c r="E98" s="9" t="str">
        <f>VLOOKUP($B98,담당자!$C:$D,2,FALSE)</f>
        <v>김다은</v>
      </c>
      <c r="F98" s="9"/>
    </row>
    <row r="99" spans="2:6" x14ac:dyDescent="0.4">
      <c r="B99" s="7" t="s">
        <v>313</v>
      </c>
      <c r="C99" s="7" t="s">
        <v>63</v>
      </c>
      <c r="D99" s="7" t="s">
        <v>64</v>
      </c>
      <c r="E99" s="9" t="str">
        <f>VLOOKUP($B99,담당자!$C:$D,2,FALSE)</f>
        <v>김다은</v>
      </c>
      <c r="F99" s="9"/>
    </row>
    <row r="100" spans="2:6" x14ac:dyDescent="0.4">
      <c r="B100" s="7" t="s">
        <v>313</v>
      </c>
      <c r="C100" s="7" t="s">
        <v>65</v>
      </c>
      <c r="D100" s="7" t="s">
        <v>66</v>
      </c>
      <c r="E100" s="9" t="str">
        <f>VLOOKUP($B100,담당자!$C:$D,2,FALSE)</f>
        <v>김다은</v>
      </c>
      <c r="F100" s="9"/>
    </row>
    <row r="101" spans="2:6" x14ac:dyDescent="0.4">
      <c r="B101" s="7" t="s">
        <v>313</v>
      </c>
      <c r="C101" s="7" t="s">
        <v>87</v>
      </c>
      <c r="D101" s="7" t="s">
        <v>88</v>
      </c>
      <c r="E101" s="9" t="str">
        <f>VLOOKUP($B101,담당자!$C:$D,2,FALSE)</f>
        <v>김다은</v>
      </c>
      <c r="F101" s="9"/>
    </row>
    <row r="102" spans="2:6" x14ac:dyDescent="0.4">
      <c r="B102" s="7" t="s">
        <v>292</v>
      </c>
      <c r="C102" s="7" t="s">
        <v>153</v>
      </c>
      <c r="D102" s="7" t="s">
        <v>154</v>
      </c>
      <c r="E102" s="9" t="str">
        <f>VLOOKUP($B102,담당자!$C:$D,2,FALSE)</f>
        <v>김다은</v>
      </c>
      <c r="F102" s="9"/>
    </row>
    <row r="103" spans="2:6" x14ac:dyDescent="0.4">
      <c r="B103" s="7" t="s">
        <v>292</v>
      </c>
      <c r="C103" s="7" t="s">
        <v>155</v>
      </c>
      <c r="D103" s="7" t="s">
        <v>156</v>
      </c>
      <c r="E103" s="9" t="str">
        <f>VLOOKUP($B103,담당자!$C:$D,2,FALSE)</f>
        <v>김다은</v>
      </c>
      <c r="F103" s="9"/>
    </row>
    <row r="104" spans="2:6" x14ac:dyDescent="0.4">
      <c r="B104" s="7" t="s">
        <v>292</v>
      </c>
      <c r="C104" s="7" t="s">
        <v>157</v>
      </c>
      <c r="D104" s="7" t="s">
        <v>158</v>
      </c>
      <c r="E104" s="9" t="str">
        <f>VLOOKUP($B104,담당자!$C:$D,2,FALSE)</f>
        <v>김다은</v>
      </c>
      <c r="F104" s="9"/>
    </row>
    <row r="105" spans="2:6" x14ac:dyDescent="0.4">
      <c r="B105" s="7" t="s">
        <v>292</v>
      </c>
      <c r="C105" s="7" t="s">
        <v>159</v>
      </c>
      <c r="D105" s="7" t="s">
        <v>160</v>
      </c>
      <c r="E105" s="9" t="str">
        <f>VLOOKUP($B105,담당자!$C:$D,2,FALSE)</f>
        <v>김다은</v>
      </c>
      <c r="F105" s="9"/>
    </row>
    <row r="106" spans="2:6" x14ac:dyDescent="0.4">
      <c r="B106" s="7" t="s">
        <v>292</v>
      </c>
      <c r="C106" s="7" t="s">
        <v>161</v>
      </c>
      <c r="D106" s="7" t="s">
        <v>162</v>
      </c>
      <c r="E106" s="9" t="str">
        <f>VLOOKUP($B106,담당자!$C:$D,2,FALSE)</f>
        <v>김다은</v>
      </c>
      <c r="F106" s="9"/>
    </row>
    <row r="107" spans="2:6" x14ac:dyDescent="0.4">
      <c r="B107" s="7" t="s">
        <v>292</v>
      </c>
      <c r="C107" s="7" t="s">
        <v>163</v>
      </c>
      <c r="D107" s="7" t="s">
        <v>164</v>
      </c>
      <c r="E107" s="9" t="str">
        <f>VLOOKUP($B107,담당자!$C:$D,2,FALSE)</f>
        <v>김다은</v>
      </c>
      <c r="F107" s="9"/>
    </row>
    <row r="108" spans="2:6" x14ac:dyDescent="0.4">
      <c r="B108" s="7" t="s">
        <v>292</v>
      </c>
      <c r="C108" s="7" t="s">
        <v>165</v>
      </c>
      <c r="D108" s="7" t="s">
        <v>166</v>
      </c>
      <c r="E108" s="9" t="str">
        <f>VLOOKUP($B108,담당자!$C:$D,2,FALSE)</f>
        <v>김다은</v>
      </c>
      <c r="F108" s="9"/>
    </row>
    <row r="109" spans="2:6" x14ac:dyDescent="0.4">
      <c r="B109" s="7" t="s">
        <v>292</v>
      </c>
      <c r="C109" s="7" t="s">
        <v>167</v>
      </c>
      <c r="D109" s="7" t="s">
        <v>168</v>
      </c>
      <c r="E109" s="9" t="str">
        <f>VLOOKUP($B109,담당자!$C:$D,2,FALSE)</f>
        <v>김다은</v>
      </c>
      <c r="F109" s="9"/>
    </row>
    <row r="110" spans="2:6" x14ac:dyDescent="0.4">
      <c r="B110" s="7" t="s">
        <v>292</v>
      </c>
      <c r="C110" s="7" t="s">
        <v>169</v>
      </c>
      <c r="D110" s="7" t="s">
        <v>170</v>
      </c>
      <c r="E110" s="9" t="str">
        <f>VLOOKUP($B110,담당자!$C:$D,2,FALSE)</f>
        <v>김다은</v>
      </c>
      <c r="F110" s="9"/>
    </row>
    <row r="111" spans="2:6" x14ac:dyDescent="0.4">
      <c r="B111" s="7" t="s">
        <v>292</v>
      </c>
      <c r="C111" s="7" t="s">
        <v>171</v>
      </c>
      <c r="D111" s="7" t="s">
        <v>172</v>
      </c>
      <c r="E111" s="9" t="str">
        <f>VLOOKUP($B111,담당자!$C:$D,2,FALSE)</f>
        <v>김다은</v>
      </c>
      <c r="F111" s="9"/>
    </row>
    <row r="112" spans="2:6" x14ac:dyDescent="0.4">
      <c r="B112" s="7" t="s">
        <v>292</v>
      </c>
      <c r="C112" s="7" t="s">
        <v>173</v>
      </c>
      <c r="D112" s="7" t="s">
        <v>174</v>
      </c>
      <c r="E112" s="9" t="str">
        <f>VLOOKUP($B112,담당자!$C:$D,2,FALSE)</f>
        <v>김다은</v>
      </c>
      <c r="F112" s="9"/>
    </row>
    <row r="113" spans="2:6" x14ac:dyDescent="0.4">
      <c r="B113" s="7" t="s">
        <v>292</v>
      </c>
      <c r="C113" s="7" t="s">
        <v>175</v>
      </c>
      <c r="D113" s="7" t="s">
        <v>176</v>
      </c>
      <c r="E113" s="9" t="str">
        <f>VLOOKUP($B113,담당자!$C:$D,2,FALSE)</f>
        <v>김다은</v>
      </c>
      <c r="F113" s="9"/>
    </row>
    <row r="114" spans="2:6" x14ac:dyDescent="0.4">
      <c r="B114" s="7" t="s">
        <v>292</v>
      </c>
      <c r="C114" s="7" t="s">
        <v>177</v>
      </c>
      <c r="D114" s="7" t="s">
        <v>178</v>
      </c>
      <c r="E114" s="9" t="str">
        <f>VLOOKUP($B114,담당자!$C:$D,2,FALSE)</f>
        <v>김다은</v>
      </c>
      <c r="F114" s="9"/>
    </row>
    <row r="115" spans="2:6" x14ac:dyDescent="0.4">
      <c r="B115" s="7" t="s">
        <v>292</v>
      </c>
      <c r="C115" s="7" t="s">
        <v>179</v>
      </c>
      <c r="D115" s="7" t="s">
        <v>180</v>
      </c>
      <c r="E115" s="9" t="str">
        <f>VLOOKUP($B115,담당자!$C:$D,2,FALSE)</f>
        <v>김다은</v>
      </c>
      <c r="F115" s="9"/>
    </row>
    <row r="116" spans="2:6" x14ac:dyDescent="0.4">
      <c r="B116" s="7" t="s">
        <v>292</v>
      </c>
      <c r="C116" s="7" t="s">
        <v>181</v>
      </c>
      <c r="D116" s="7" t="s">
        <v>303</v>
      </c>
      <c r="E116" s="9" t="str">
        <f>VLOOKUP($B116,담당자!$C:$D,2,FALSE)</f>
        <v>김다은</v>
      </c>
      <c r="F116" s="9"/>
    </row>
    <row r="117" spans="2:6" x14ac:dyDescent="0.4">
      <c r="B117" s="7" t="s">
        <v>292</v>
      </c>
      <c r="C117" s="7" t="s">
        <v>183</v>
      </c>
      <c r="D117" s="7" t="s">
        <v>304</v>
      </c>
      <c r="E117" s="9" t="str">
        <f>VLOOKUP($B117,담당자!$C:$D,2,FALSE)</f>
        <v>김다은</v>
      </c>
      <c r="F117" s="9"/>
    </row>
    <row r="118" spans="2:6" x14ac:dyDescent="0.4">
      <c r="B118" s="7" t="s">
        <v>292</v>
      </c>
      <c r="C118" s="7" t="s">
        <v>185</v>
      </c>
      <c r="D118" s="7" t="s">
        <v>308</v>
      </c>
      <c r="E118" s="9" t="str">
        <f>VLOOKUP($B118,담당자!$C:$D,2,FALSE)</f>
        <v>김다은</v>
      </c>
      <c r="F118" s="9"/>
    </row>
    <row r="119" spans="2:6" x14ac:dyDescent="0.4">
      <c r="B119" s="7" t="s">
        <v>292</v>
      </c>
      <c r="C119" s="7" t="s">
        <v>187</v>
      </c>
      <c r="D119" s="7" t="s">
        <v>307</v>
      </c>
      <c r="E119" s="9" t="str">
        <f>VLOOKUP($B119,담당자!$C:$D,2,FALSE)</f>
        <v>김다은</v>
      </c>
      <c r="F119" s="9"/>
    </row>
    <row r="120" spans="2:6" x14ac:dyDescent="0.4">
      <c r="B120" s="7" t="s">
        <v>292</v>
      </c>
      <c r="C120" s="7" t="s">
        <v>189</v>
      </c>
      <c r="D120" s="7" t="s">
        <v>305</v>
      </c>
      <c r="E120" s="9" t="str">
        <f>VLOOKUP($B120,담당자!$C:$D,2,FALSE)</f>
        <v>김다은</v>
      </c>
      <c r="F120" s="9"/>
    </row>
    <row r="121" spans="2:6" x14ac:dyDescent="0.4">
      <c r="B121" s="7" t="s">
        <v>292</v>
      </c>
      <c r="C121" s="7" t="s">
        <v>191</v>
      </c>
      <c r="D121" s="7" t="s">
        <v>192</v>
      </c>
      <c r="E121" s="9" t="str">
        <f>VLOOKUP($B121,담당자!$C:$D,2,FALSE)</f>
        <v>김다은</v>
      </c>
      <c r="F121" s="9"/>
    </row>
    <row r="122" spans="2:6" x14ac:dyDescent="0.4">
      <c r="B122" s="7" t="s">
        <v>292</v>
      </c>
      <c r="C122" s="7" t="s">
        <v>193</v>
      </c>
      <c r="D122" s="7" t="s">
        <v>194</v>
      </c>
      <c r="E122" s="9" t="str">
        <f>VLOOKUP($B122,담당자!$C:$D,2,FALSE)</f>
        <v>김다은</v>
      </c>
      <c r="F122" s="9"/>
    </row>
    <row r="123" spans="2:6" x14ac:dyDescent="0.4">
      <c r="B123" s="7" t="s">
        <v>292</v>
      </c>
      <c r="C123" s="7" t="s">
        <v>195</v>
      </c>
      <c r="D123" s="7" t="s">
        <v>306</v>
      </c>
      <c r="E123" s="9" t="str">
        <f>VLOOKUP($B123,담당자!$C:$D,2,FALSE)</f>
        <v>김다은</v>
      </c>
      <c r="F123" s="9"/>
    </row>
    <row r="124" spans="2:6" x14ac:dyDescent="0.4">
      <c r="B124" s="7" t="s">
        <v>13</v>
      </c>
      <c r="C124" s="7" t="s">
        <v>103</v>
      </c>
      <c r="D124" s="7" t="s">
        <v>104</v>
      </c>
      <c r="E124" s="9" t="str">
        <f>VLOOKUP($B124,담당자!$C:$D,2,FALSE)</f>
        <v>정혜란</v>
      </c>
      <c r="F124" s="9"/>
    </row>
    <row r="125" spans="2:6" x14ac:dyDescent="0.4">
      <c r="B125" s="7" t="s">
        <v>13</v>
      </c>
      <c r="C125" s="7" t="s">
        <v>237</v>
      </c>
      <c r="D125" s="7" t="s">
        <v>238</v>
      </c>
      <c r="E125" s="9" t="str">
        <f>VLOOKUP($B125,담당자!$C:$D,2,FALSE)</f>
        <v>정혜란</v>
      </c>
      <c r="F125" s="9"/>
    </row>
  </sheetData>
  <phoneticPr fontId="1" type="noConversion"/>
  <conditionalFormatting sqref="F3:F125">
    <cfRule type="cellIs" dxfId="4" priority="6" operator="equal">
      <formula>"완료"</formula>
    </cfRule>
    <cfRule type="cellIs" dxfId="3" priority="7" operator="equal">
      <formula>"진행중"</formula>
    </cfRule>
    <cfRule type="cellIs" dxfId="2" priority="8" operator="equal">
      <formula>"미시작"</formula>
    </cfRule>
    <cfRule type="cellIs" dxfId="1" priority="9" operator="equal">
      <formula>"검토중"</formula>
    </cfRule>
    <cfRule type="cellIs" dxfId="0" priority="10" operator="equal">
      <formula>"보류"</formula>
    </cfRule>
  </conditionalFormatting>
  <dataValidations count="1">
    <dataValidation type="list" allowBlank="1" showInputMessage="1" showErrorMessage="1" sqref="F3:F125" xr:uid="{717D1477-382B-43A3-B186-59EB710A253F}">
      <formula1>"미시작,진행중,완료,검토중,보류"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821E-BBE9-41A9-AD94-64360E98CE86}">
  <dimension ref="A3:C134"/>
  <sheetViews>
    <sheetView workbookViewId="0">
      <selection activeCell="B14" sqref="B14"/>
    </sheetView>
  </sheetViews>
  <sheetFormatPr defaultRowHeight="17.399999999999999" x14ac:dyDescent="0.4"/>
  <cols>
    <col min="1" max="1" width="19.69921875" bestFit="1" customWidth="1"/>
    <col min="2" max="2" width="26.3984375" bestFit="1" customWidth="1"/>
    <col min="3" max="3" width="53.5" bestFit="1" customWidth="1"/>
  </cols>
  <sheetData>
    <row r="3" spans="1:3" x14ac:dyDescent="0.4">
      <c r="A3" s="6" t="s">
        <v>299</v>
      </c>
      <c r="B3" s="6" t="s">
        <v>275</v>
      </c>
      <c r="C3" s="6" t="s">
        <v>277</v>
      </c>
    </row>
    <row r="4" spans="1:3" x14ac:dyDescent="0.4">
      <c r="A4" s="2" t="s">
        <v>280</v>
      </c>
      <c r="B4" s="2" t="s">
        <v>25</v>
      </c>
      <c r="C4" s="2" t="s">
        <v>26</v>
      </c>
    </row>
    <row r="5" spans="1:3" x14ac:dyDescent="0.4">
      <c r="B5" s="2" t="s">
        <v>33</v>
      </c>
      <c r="C5" s="2" t="s">
        <v>34</v>
      </c>
    </row>
    <row r="6" spans="1:3" x14ac:dyDescent="0.4">
      <c r="B6" s="2" t="s">
        <v>35</v>
      </c>
      <c r="C6" s="2" t="s">
        <v>36</v>
      </c>
    </row>
    <row r="7" spans="1:3" x14ac:dyDescent="0.4">
      <c r="B7" s="2" t="s">
        <v>49</v>
      </c>
      <c r="C7" s="2" t="s">
        <v>50</v>
      </c>
    </row>
    <row r="8" spans="1:3" x14ac:dyDescent="0.4">
      <c r="B8" s="2" t="s">
        <v>51</v>
      </c>
      <c r="C8" s="2" t="s">
        <v>52</v>
      </c>
    </row>
    <row r="9" spans="1:3" x14ac:dyDescent="0.4">
      <c r="B9" s="2" t="s">
        <v>53</v>
      </c>
      <c r="C9" s="2" t="s">
        <v>54</v>
      </c>
    </row>
    <row r="10" spans="1:3" x14ac:dyDescent="0.4">
      <c r="B10" s="2" t="s">
        <v>55</v>
      </c>
      <c r="C10" s="2" t="s">
        <v>56</v>
      </c>
    </row>
    <row r="11" spans="1:3" x14ac:dyDescent="0.4">
      <c r="B11" s="2" t="s">
        <v>121</v>
      </c>
      <c r="C11" s="2" t="s">
        <v>122</v>
      </c>
    </row>
    <row r="12" spans="1:3" x14ac:dyDescent="0.4">
      <c r="B12" s="2" t="s">
        <v>123</v>
      </c>
      <c r="C12" s="2" t="s">
        <v>124</v>
      </c>
    </row>
    <row r="13" spans="1:3" x14ac:dyDescent="0.4">
      <c r="B13" s="2" t="s">
        <v>125</v>
      </c>
      <c r="C13" s="2" t="s">
        <v>126</v>
      </c>
    </row>
    <row r="14" spans="1:3" x14ac:dyDescent="0.4">
      <c r="A14" s="2" t="s">
        <v>287</v>
      </c>
      <c r="B14" s="2" t="s">
        <v>239</v>
      </c>
      <c r="C14" s="2" t="s">
        <v>240</v>
      </c>
    </row>
    <row r="15" spans="1:3" x14ac:dyDescent="0.4">
      <c r="B15" s="2" t="s">
        <v>241</v>
      </c>
      <c r="C15" s="2" t="s">
        <v>242</v>
      </c>
    </row>
    <row r="16" spans="1:3" x14ac:dyDescent="0.4">
      <c r="B16" s="2" t="s">
        <v>243</v>
      </c>
      <c r="C16" s="2" t="s">
        <v>244</v>
      </c>
    </row>
    <row r="17" spans="1:3" x14ac:dyDescent="0.4">
      <c r="B17" s="2" t="s">
        <v>273</v>
      </c>
      <c r="C17" s="2" t="s">
        <v>274</v>
      </c>
    </row>
    <row r="18" spans="1:3" x14ac:dyDescent="0.4">
      <c r="B18" s="2" t="s">
        <v>217</v>
      </c>
      <c r="C18" s="2" t="s">
        <v>218</v>
      </c>
    </row>
    <row r="19" spans="1:3" x14ac:dyDescent="0.4">
      <c r="A19" s="2" t="s">
        <v>294</v>
      </c>
      <c r="B19" s="2" t="s">
        <v>57</v>
      </c>
      <c r="C19" s="2" t="s">
        <v>58</v>
      </c>
    </row>
    <row r="20" spans="1:3" x14ac:dyDescent="0.4">
      <c r="B20" s="2" t="s">
        <v>105</v>
      </c>
      <c r="C20" s="2" t="s">
        <v>106</v>
      </c>
    </row>
    <row r="21" spans="1:3" x14ac:dyDescent="0.4">
      <c r="B21" s="2" t="s">
        <v>107</v>
      </c>
      <c r="C21" s="2" t="s">
        <v>108</v>
      </c>
    </row>
    <row r="22" spans="1:3" x14ac:dyDescent="0.4">
      <c r="B22" s="2" t="s">
        <v>109</v>
      </c>
      <c r="C22" s="2" t="s">
        <v>110</v>
      </c>
    </row>
    <row r="23" spans="1:3" x14ac:dyDescent="0.4">
      <c r="B23" s="2" t="s">
        <v>111</v>
      </c>
      <c r="C23" s="2" t="s">
        <v>112</v>
      </c>
    </row>
    <row r="24" spans="1:3" x14ac:dyDescent="0.4">
      <c r="B24" s="2" t="s">
        <v>113</v>
      </c>
      <c r="C24" s="2" t="s">
        <v>114</v>
      </c>
    </row>
    <row r="25" spans="1:3" x14ac:dyDescent="0.4">
      <c r="B25" s="2" t="s">
        <v>115</v>
      </c>
      <c r="C25" s="2" t="s">
        <v>116</v>
      </c>
    </row>
    <row r="26" spans="1:3" x14ac:dyDescent="0.4">
      <c r="B26" s="2" t="s">
        <v>117</v>
      </c>
      <c r="C26" s="2" t="s">
        <v>118</v>
      </c>
    </row>
    <row r="27" spans="1:3" x14ac:dyDescent="0.4">
      <c r="A27" s="2" t="s">
        <v>293</v>
      </c>
      <c r="B27" s="2" t="s">
        <v>127</v>
      </c>
      <c r="C27" s="2" t="s">
        <v>128</v>
      </c>
    </row>
    <row r="28" spans="1:3" x14ac:dyDescent="0.4">
      <c r="B28" s="2" t="s">
        <v>129</v>
      </c>
      <c r="C28" s="2" t="s">
        <v>130</v>
      </c>
    </row>
    <row r="29" spans="1:3" x14ac:dyDescent="0.4">
      <c r="B29" s="2" t="s">
        <v>131</v>
      </c>
      <c r="C29" s="2" t="s">
        <v>132</v>
      </c>
    </row>
    <row r="30" spans="1:3" x14ac:dyDescent="0.4">
      <c r="B30" s="2" t="s">
        <v>133</v>
      </c>
      <c r="C30" s="2" t="s">
        <v>134</v>
      </c>
    </row>
    <row r="31" spans="1:3" x14ac:dyDescent="0.4">
      <c r="B31" s="2" t="s">
        <v>135</v>
      </c>
      <c r="C31" s="2" t="s">
        <v>136</v>
      </c>
    </row>
    <row r="32" spans="1:3" x14ac:dyDescent="0.4">
      <c r="B32" s="2" t="s">
        <v>137</v>
      </c>
      <c r="C32" s="2" t="s">
        <v>138</v>
      </c>
    </row>
    <row r="33" spans="1:3" x14ac:dyDescent="0.4">
      <c r="B33" s="2" t="s">
        <v>139</v>
      </c>
      <c r="C33" s="2" t="s">
        <v>140</v>
      </c>
    </row>
    <row r="34" spans="1:3" x14ac:dyDescent="0.4">
      <c r="B34" s="2" t="s">
        <v>141</v>
      </c>
      <c r="C34" s="2" t="s">
        <v>142</v>
      </c>
    </row>
    <row r="35" spans="1:3" x14ac:dyDescent="0.4">
      <c r="B35" s="2" t="s">
        <v>143</v>
      </c>
      <c r="C35" s="2" t="s">
        <v>144</v>
      </c>
    </row>
    <row r="36" spans="1:3" x14ac:dyDescent="0.4">
      <c r="B36" s="2" t="s">
        <v>145</v>
      </c>
      <c r="C36" s="2" t="s">
        <v>146</v>
      </c>
    </row>
    <row r="37" spans="1:3" x14ac:dyDescent="0.4">
      <c r="B37" s="2" t="s">
        <v>147</v>
      </c>
      <c r="C37" s="2" t="s">
        <v>148</v>
      </c>
    </row>
    <row r="38" spans="1:3" x14ac:dyDescent="0.4">
      <c r="B38" s="2" t="s">
        <v>149</v>
      </c>
      <c r="C38" s="2" t="s">
        <v>150</v>
      </c>
    </row>
    <row r="39" spans="1:3" x14ac:dyDescent="0.4">
      <c r="B39" s="2" t="s">
        <v>151</v>
      </c>
      <c r="C39" s="2" t="s">
        <v>152</v>
      </c>
    </row>
    <row r="40" spans="1:3" x14ac:dyDescent="0.4">
      <c r="A40" s="2" t="s">
        <v>286</v>
      </c>
      <c r="B40" s="2" t="s">
        <v>59</v>
      </c>
      <c r="C40" s="2" t="s">
        <v>60</v>
      </c>
    </row>
    <row r="41" spans="1:3" x14ac:dyDescent="0.4">
      <c r="B41" s="2" t="s">
        <v>197</v>
      </c>
      <c r="C41" s="2" t="s">
        <v>198</v>
      </c>
    </row>
    <row r="42" spans="1:3" x14ac:dyDescent="0.4">
      <c r="B42" s="2" t="s">
        <v>199</v>
      </c>
      <c r="C42" s="2" t="s">
        <v>200</v>
      </c>
    </row>
    <row r="43" spans="1:3" x14ac:dyDescent="0.4">
      <c r="B43" s="2" t="s">
        <v>235</v>
      </c>
      <c r="C43" s="2" t="s">
        <v>236</v>
      </c>
    </row>
    <row r="44" spans="1:3" x14ac:dyDescent="0.4">
      <c r="A44" s="2" t="s">
        <v>300</v>
      </c>
      <c r="B44" s="2" t="s">
        <v>15</v>
      </c>
      <c r="C44" s="2" t="s">
        <v>16</v>
      </c>
    </row>
    <row r="45" spans="1:3" x14ac:dyDescent="0.4">
      <c r="B45" s="2" t="s">
        <v>17</v>
      </c>
      <c r="C45" s="2" t="s">
        <v>18</v>
      </c>
    </row>
    <row r="46" spans="1:3" x14ac:dyDescent="0.4">
      <c r="A46" s="2" t="s">
        <v>297</v>
      </c>
      <c r="B46" s="2" t="s">
        <v>245</v>
      </c>
      <c r="C46" s="2" t="s">
        <v>246</v>
      </c>
    </row>
    <row r="47" spans="1:3" x14ac:dyDescent="0.4">
      <c r="B47" s="2" t="s">
        <v>253</v>
      </c>
      <c r="C47" s="2" t="s">
        <v>254</v>
      </c>
    </row>
    <row r="48" spans="1:3" x14ac:dyDescent="0.4">
      <c r="B48" s="2" t="s">
        <v>269</v>
      </c>
      <c r="C48" s="2" t="s">
        <v>270</v>
      </c>
    </row>
    <row r="49" spans="1:3" x14ac:dyDescent="0.4">
      <c r="B49" s="2" t="s">
        <v>271</v>
      </c>
      <c r="C49" s="2" t="s">
        <v>272</v>
      </c>
    </row>
    <row r="50" spans="1:3" x14ac:dyDescent="0.4">
      <c r="B50" s="2" t="s">
        <v>215</v>
      </c>
      <c r="C50" s="2" t="s">
        <v>216</v>
      </c>
    </row>
    <row r="51" spans="1:3" x14ac:dyDescent="0.4">
      <c r="B51" s="2" t="s">
        <v>219</v>
      </c>
      <c r="C51" s="2" t="s">
        <v>220</v>
      </c>
    </row>
    <row r="52" spans="1:3" x14ac:dyDescent="0.4">
      <c r="B52" s="2" t="s">
        <v>223</v>
      </c>
      <c r="C52" s="2" t="s">
        <v>224</v>
      </c>
    </row>
    <row r="53" spans="1:3" x14ac:dyDescent="0.4">
      <c r="B53" s="2" t="s">
        <v>225</v>
      </c>
      <c r="C53" s="2" t="s">
        <v>226</v>
      </c>
    </row>
    <row r="54" spans="1:3" x14ac:dyDescent="0.4">
      <c r="B54" s="2" t="s">
        <v>227</v>
      </c>
      <c r="C54" s="2" t="s">
        <v>228</v>
      </c>
    </row>
    <row r="55" spans="1:3" x14ac:dyDescent="0.4">
      <c r="B55" s="2" t="s">
        <v>229</v>
      </c>
      <c r="C55" s="2" t="s">
        <v>230</v>
      </c>
    </row>
    <row r="56" spans="1:3" x14ac:dyDescent="0.4">
      <c r="B56" s="2" t="s">
        <v>231</v>
      </c>
      <c r="C56" s="2" t="s">
        <v>232</v>
      </c>
    </row>
    <row r="57" spans="1:3" x14ac:dyDescent="0.4">
      <c r="A57" s="2" t="s">
        <v>279</v>
      </c>
      <c r="B57" s="2" t="s">
        <v>265</v>
      </c>
      <c r="C57" s="2" t="s">
        <v>266</v>
      </c>
    </row>
    <row r="58" spans="1:3" x14ac:dyDescent="0.4">
      <c r="B58" s="2" t="s">
        <v>267</v>
      </c>
      <c r="C58" s="2" t="s">
        <v>268</v>
      </c>
    </row>
    <row r="59" spans="1:3" x14ac:dyDescent="0.4">
      <c r="B59" s="2" t="s">
        <v>21</v>
      </c>
      <c r="C59" s="2" t="s">
        <v>22</v>
      </c>
    </row>
    <row r="60" spans="1:3" x14ac:dyDescent="0.4">
      <c r="B60" s="2" t="s">
        <v>23</v>
      </c>
      <c r="C60" s="2" t="s">
        <v>24</v>
      </c>
    </row>
    <row r="61" spans="1:3" x14ac:dyDescent="0.4">
      <c r="B61" s="2" t="s">
        <v>47</v>
      </c>
      <c r="C61" s="2" t="s">
        <v>48</v>
      </c>
    </row>
    <row r="62" spans="1:3" x14ac:dyDescent="0.4">
      <c r="B62" s="2" t="s">
        <v>83</v>
      </c>
      <c r="C62" s="2" t="s">
        <v>84</v>
      </c>
    </row>
    <row r="63" spans="1:3" x14ac:dyDescent="0.4">
      <c r="B63" s="2" t="s">
        <v>89</v>
      </c>
      <c r="C63" s="2" t="s">
        <v>90</v>
      </c>
    </row>
    <row r="64" spans="1:3" x14ac:dyDescent="0.4">
      <c r="B64" s="2" t="s">
        <v>119</v>
      </c>
      <c r="C64" s="2" t="s">
        <v>120</v>
      </c>
    </row>
    <row r="65" spans="1:3" x14ac:dyDescent="0.4">
      <c r="A65" s="2" t="s">
        <v>284</v>
      </c>
      <c r="B65" s="2" t="s">
        <v>91</v>
      </c>
      <c r="C65" s="2" t="s">
        <v>92</v>
      </c>
    </row>
    <row r="66" spans="1:3" x14ac:dyDescent="0.4">
      <c r="B66" s="2" t="s">
        <v>93</v>
      </c>
      <c r="C66" s="2" t="s">
        <v>94</v>
      </c>
    </row>
    <row r="67" spans="1:3" x14ac:dyDescent="0.4">
      <c r="B67" s="2" t="s">
        <v>95</v>
      </c>
      <c r="C67" s="2" t="s">
        <v>96</v>
      </c>
    </row>
    <row r="68" spans="1:3" x14ac:dyDescent="0.4">
      <c r="B68" s="2" t="s">
        <v>97</v>
      </c>
      <c r="C68" s="2" t="s">
        <v>98</v>
      </c>
    </row>
    <row r="69" spans="1:3" x14ac:dyDescent="0.4">
      <c r="B69" s="2" t="s">
        <v>99</v>
      </c>
      <c r="C69" s="2" t="s">
        <v>100</v>
      </c>
    </row>
    <row r="70" spans="1:3" x14ac:dyDescent="0.4">
      <c r="B70" s="2" t="s">
        <v>101</v>
      </c>
      <c r="C70" s="2" t="s">
        <v>102</v>
      </c>
    </row>
    <row r="71" spans="1:3" x14ac:dyDescent="0.4">
      <c r="B71" s="2" t="s">
        <v>221</v>
      </c>
      <c r="C71" s="2" t="s">
        <v>222</v>
      </c>
    </row>
    <row r="72" spans="1:3" x14ac:dyDescent="0.4">
      <c r="A72" s="2" t="s">
        <v>281</v>
      </c>
      <c r="B72" s="2" t="s">
        <v>37</v>
      </c>
      <c r="C72" s="2" t="s">
        <v>38</v>
      </c>
    </row>
    <row r="73" spans="1:3" x14ac:dyDescent="0.4">
      <c r="B73" s="2" t="s">
        <v>39</v>
      </c>
      <c r="C73" s="2" t="s">
        <v>40</v>
      </c>
    </row>
    <row r="74" spans="1:3" x14ac:dyDescent="0.4">
      <c r="B74" s="2" t="s">
        <v>41</v>
      </c>
      <c r="C74" s="2" t="s">
        <v>42</v>
      </c>
    </row>
    <row r="75" spans="1:3" x14ac:dyDescent="0.4">
      <c r="B75" s="2" t="s">
        <v>43</v>
      </c>
      <c r="C75" s="2" t="s">
        <v>44</v>
      </c>
    </row>
    <row r="76" spans="1:3" x14ac:dyDescent="0.4">
      <c r="B76" s="2" t="s">
        <v>79</v>
      </c>
      <c r="C76" s="2" t="s">
        <v>80</v>
      </c>
    </row>
    <row r="77" spans="1:3" x14ac:dyDescent="0.4">
      <c r="B77" s="2" t="s">
        <v>201</v>
      </c>
      <c r="C77" s="2" t="s">
        <v>202</v>
      </c>
    </row>
    <row r="78" spans="1:3" x14ac:dyDescent="0.4">
      <c r="B78" s="2" t="s">
        <v>203</v>
      </c>
      <c r="C78" s="2" t="s">
        <v>204</v>
      </c>
    </row>
    <row r="79" spans="1:3" x14ac:dyDescent="0.4">
      <c r="B79" s="2" t="s">
        <v>205</v>
      </c>
      <c r="C79" s="2" t="s">
        <v>206</v>
      </c>
    </row>
    <row r="80" spans="1:3" x14ac:dyDescent="0.4">
      <c r="B80" s="2" t="s">
        <v>207</v>
      </c>
      <c r="C80" s="2" t="s">
        <v>208</v>
      </c>
    </row>
    <row r="81" spans="1:3" x14ac:dyDescent="0.4">
      <c r="B81" s="2" t="s">
        <v>209</v>
      </c>
      <c r="C81" s="2" t="s">
        <v>210</v>
      </c>
    </row>
    <row r="82" spans="1:3" x14ac:dyDescent="0.4">
      <c r="B82" s="2" t="s">
        <v>211</v>
      </c>
      <c r="C82" s="2" t="s">
        <v>212</v>
      </c>
    </row>
    <row r="83" spans="1:3" x14ac:dyDescent="0.4">
      <c r="B83" s="2" t="s">
        <v>213</v>
      </c>
      <c r="C83" s="2" t="s">
        <v>214</v>
      </c>
    </row>
    <row r="84" spans="1:3" x14ac:dyDescent="0.4">
      <c r="A84" s="2" t="s">
        <v>283</v>
      </c>
      <c r="B84" s="2" t="s">
        <v>255</v>
      </c>
      <c r="C84" s="2" t="s">
        <v>256</v>
      </c>
    </row>
    <row r="85" spans="1:3" x14ac:dyDescent="0.4">
      <c r="B85" s="2" t="s">
        <v>257</v>
      </c>
      <c r="C85" s="2" t="s">
        <v>258</v>
      </c>
    </row>
    <row r="86" spans="1:3" x14ac:dyDescent="0.4">
      <c r="B86" s="2" t="s">
        <v>259</v>
      </c>
      <c r="C86" s="2" t="s">
        <v>260</v>
      </c>
    </row>
    <row r="87" spans="1:3" x14ac:dyDescent="0.4">
      <c r="B87" s="2" t="s">
        <v>261</v>
      </c>
      <c r="C87" s="2" t="s">
        <v>262</v>
      </c>
    </row>
    <row r="88" spans="1:3" x14ac:dyDescent="0.4">
      <c r="B88" s="2" t="s">
        <v>263</v>
      </c>
      <c r="C88" s="2" t="s">
        <v>264</v>
      </c>
    </row>
    <row r="89" spans="1:3" x14ac:dyDescent="0.4">
      <c r="B89" s="2" t="s">
        <v>85</v>
      </c>
      <c r="C89" s="2" t="s">
        <v>86</v>
      </c>
    </row>
    <row r="90" spans="1:3" x14ac:dyDescent="0.4">
      <c r="B90" s="2" t="s">
        <v>233</v>
      </c>
      <c r="C90" s="2" t="s">
        <v>234</v>
      </c>
    </row>
    <row r="91" spans="1:3" x14ac:dyDescent="0.4">
      <c r="A91" s="2" t="s">
        <v>295</v>
      </c>
      <c r="B91" s="2" t="s">
        <v>247</v>
      </c>
      <c r="C91" s="2" t="s">
        <v>248</v>
      </c>
    </row>
    <row r="92" spans="1:3" x14ac:dyDescent="0.4">
      <c r="B92" s="2" t="s">
        <v>249</v>
      </c>
      <c r="C92" s="2" t="s">
        <v>250</v>
      </c>
    </row>
    <row r="93" spans="1:3" x14ac:dyDescent="0.4">
      <c r="B93" s="2" t="s">
        <v>251</v>
      </c>
      <c r="C93" s="2" t="s">
        <v>252</v>
      </c>
    </row>
    <row r="94" spans="1:3" x14ac:dyDescent="0.4">
      <c r="B94" s="2" t="s">
        <v>67</v>
      </c>
      <c r="C94" s="2" t="s">
        <v>68</v>
      </c>
    </row>
    <row r="95" spans="1:3" x14ac:dyDescent="0.4">
      <c r="B95" s="2" t="s">
        <v>69</v>
      </c>
      <c r="C95" s="2" t="s">
        <v>70</v>
      </c>
    </row>
    <row r="96" spans="1:3" x14ac:dyDescent="0.4">
      <c r="B96" s="2" t="s">
        <v>71</v>
      </c>
      <c r="C96" s="2" t="s">
        <v>72</v>
      </c>
    </row>
    <row r="97" spans="1:3" x14ac:dyDescent="0.4">
      <c r="B97" s="2" t="s">
        <v>73</v>
      </c>
      <c r="C97" s="2" t="s">
        <v>74</v>
      </c>
    </row>
    <row r="98" spans="1:3" x14ac:dyDescent="0.4">
      <c r="B98" s="2" t="s">
        <v>75</v>
      </c>
      <c r="C98" s="2" t="s">
        <v>76</v>
      </c>
    </row>
    <row r="99" spans="1:3" x14ac:dyDescent="0.4">
      <c r="B99" s="2" t="s">
        <v>77</v>
      </c>
      <c r="C99" s="2" t="s">
        <v>78</v>
      </c>
    </row>
    <row r="100" spans="1:3" x14ac:dyDescent="0.4">
      <c r="B100" s="2" t="s">
        <v>81</v>
      </c>
      <c r="C100" s="2" t="s">
        <v>82</v>
      </c>
    </row>
    <row r="101" spans="1:3" x14ac:dyDescent="0.4">
      <c r="A101" s="2" t="s">
        <v>301</v>
      </c>
      <c r="B101" s="2" t="s">
        <v>19</v>
      </c>
      <c r="C101" s="2" t="s">
        <v>20</v>
      </c>
    </row>
    <row r="102" spans="1:3" x14ac:dyDescent="0.4">
      <c r="B102" s="2" t="s">
        <v>27</v>
      </c>
      <c r="C102" s="2" t="s">
        <v>28</v>
      </c>
    </row>
    <row r="103" spans="1:3" x14ac:dyDescent="0.4">
      <c r="B103" s="2" t="s">
        <v>29</v>
      </c>
      <c r="C103" s="2" t="s">
        <v>30</v>
      </c>
    </row>
    <row r="104" spans="1:3" x14ac:dyDescent="0.4">
      <c r="B104" s="2" t="s">
        <v>31</v>
      </c>
      <c r="C104" s="2" t="s">
        <v>32</v>
      </c>
    </row>
    <row r="105" spans="1:3" x14ac:dyDescent="0.4">
      <c r="B105" s="2" t="s">
        <v>45</v>
      </c>
      <c r="C105" s="2" t="s">
        <v>46</v>
      </c>
    </row>
    <row r="106" spans="1:3" x14ac:dyDescent="0.4">
      <c r="B106" s="2" t="s">
        <v>61</v>
      </c>
      <c r="C106" s="2" t="s">
        <v>62</v>
      </c>
    </row>
    <row r="107" spans="1:3" x14ac:dyDescent="0.4">
      <c r="B107" s="2" t="s">
        <v>63</v>
      </c>
      <c r="C107" s="2" t="s">
        <v>64</v>
      </c>
    </row>
    <row r="108" spans="1:3" x14ac:dyDescent="0.4">
      <c r="B108" s="2" t="s">
        <v>65</v>
      </c>
      <c r="C108" s="2" t="s">
        <v>66</v>
      </c>
    </row>
    <row r="109" spans="1:3" x14ac:dyDescent="0.4">
      <c r="B109" s="2" t="s">
        <v>87</v>
      </c>
      <c r="C109" s="2" t="s">
        <v>88</v>
      </c>
    </row>
    <row r="110" spans="1:3" x14ac:dyDescent="0.4">
      <c r="A110" s="2" t="s">
        <v>292</v>
      </c>
      <c r="B110" s="2" t="s">
        <v>153</v>
      </c>
      <c r="C110" s="2" t="s">
        <v>154</v>
      </c>
    </row>
    <row r="111" spans="1:3" x14ac:dyDescent="0.4">
      <c r="B111" s="2" t="s">
        <v>155</v>
      </c>
      <c r="C111" s="2" t="s">
        <v>156</v>
      </c>
    </row>
    <row r="112" spans="1:3" x14ac:dyDescent="0.4">
      <c r="B112" s="2" t="s">
        <v>157</v>
      </c>
      <c r="C112" s="2" t="s">
        <v>158</v>
      </c>
    </row>
    <row r="113" spans="2:3" x14ac:dyDescent="0.4">
      <c r="B113" s="2" t="s">
        <v>159</v>
      </c>
      <c r="C113" s="2" t="s">
        <v>160</v>
      </c>
    </row>
    <row r="114" spans="2:3" x14ac:dyDescent="0.4">
      <c r="B114" s="2" t="s">
        <v>161</v>
      </c>
      <c r="C114" s="2" t="s">
        <v>162</v>
      </c>
    </row>
    <row r="115" spans="2:3" x14ac:dyDescent="0.4">
      <c r="B115" s="2" t="s">
        <v>163</v>
      </c>
      <c r="C115" s="2" t="s">
        <v>164</v>
      </c>
    </row>
    <row r="116" spans="2:3" x14ac:dyDescent="0.4">
      <c r="B116" s="2" t="s">
        <v>165</v>
      </c>
      <c r="C116" s="2" t="s">
        <v>166</v>
      </c>
    </row>
    <row r="117" spans="2:3" x14ac:dyDescent="0.4">
      <c r="B117" s="2" t="s">
        <v>167</v>
      </c>
      <c r="C117" s="2" t="s">
        <v>168</v>
      </c>
    </row>
    <row r="118" spans="2:3" x14ac:dyDescent="0.4">
      <c r="B118" s="2" t="s">
        <v>169</v>
      </c>
      <c r="C118" s="2" t="s">
        <v>170</v>
      </c>
    </row>
    <row r="119" spans="2:3" x14ac:dyDescent="0.4">
      <c r="B119" s="2" t="s">
        <v>171</v>
      </c>
      <c r="C119" s="2" t="s">
        <v>172</v>
      </c>
    </row>
    <row r="120" spans="2:3" x14ac:dyDescent="0.4">
      <c r="B120" s="2" t="s">
        <v>173</v>
      </c>
      <c r="C120" s="2" t="s">
        <v>174</v>
      </c>
    </row>
    <row r="121" spans="2:3" x14ac:dyDescent="0.4">
      <c r="B121" s="2" t="s">
        <v>175</v>
      </c>
      <c r="C121" s="2" t="s">
        <v>176</v>
      </c>
    </row>
    <row r="122" spans="2:3" x14ac:dyDescent="0.4">
      <c r="B122" s="2" t="s">
        <v>177</v>
      </c>
      <c r="C122" s="2" t="s">
        <v>178</v>
      </c>
    </row>
    <row r="123" spans="2:3" x14ac:dyDescent="0.4">
      <c r="B123" s="2" t="s">
        <v>179</v>
      </c>
      <c r="C123" s="2" t="s">
        <v>180</v>
      </c>
    </row>
    <row r="124" spans="2:3" x14ac:dyDescent="0.4">
      <c r="B124" s="2" t="s">
        <v>181</v>
      </c>
      <c r="C124" s="2" t="s">
        <v>303</v>
      </c>
    </row>
    <row r="125" spans="2:3" x14ac:dyDescent="0.4">
      <c r="B125" s="2" t="s">
        <v>183</v>
      </c>
      <c r="C125" s="2" t="s">
        <v>304</v>
      </c>
    </row>
    <row r="126" spans="2:3" x14ac:dyDescent="0.4">
      <c r="B126" s="2" t="s">
        <v>185</v>
      </c>
      <c r="C126" s="2" t="s">
        <v>308</v>
      </c>
    </row>
    <row r="127" spans="2:3" x14ac:dyDescent="0.4">
      <c r="B127" s="2" t="s">
        <v>187</v>
      </c>
      <c r="C127" s="2" t="s">
        <v>307</v>
      </c>
    </row>
    <row r="128" spans="2:3" x14ac:dyDescent="0.4">
      <c r="B128" s="2" t="s">
        <v>189</v>
      </c>
      <c r="C128" s="2" t="s">
        <v>305</v>
      </c>
    </row>
    <row r="129" spans="1:3" x14ac:dyDescent="0.4">
      <c r="B129" s="2" t="s">
        <v>191</v>
      </c>
      <c r="C129" s="2" t="s">
        <v>192</v>
      </c>
    </row>
    <row r="130" spans="1:3" x14ac:dyDescent="0.4">
      <c r="B130" s="2" t="s">
        <v>193</v>
      </c>
      <c r="C130" s="2" t="s">
        <v>194</v>
      </c>
    </row>
    <row r="131" spans="1:3" x14ac:dyDescent="0.4">
      <c r="B131" s="2" t="s">
        <v>195</v>
      </c>
      <c r="C131" s="2" t="s">
        <v>306</v>
      </c>
    </row>
    <row r="132" spans="1:3" x14ac:dyDescent="0.4">
      <c r="A132" s="2" t="s">
        <v>285</v>
      </c>
      <c r="B132" s="2" t="s">
        <v>103</v>
      </c>
      <c r="C132" s="2" t="s">
        <v>104</v>
      </c>
    </row>
    <row r="133" spans="1:3" x14ac:dyDescent="0.4">
      <c r="B133" s="2" t="s">
        <v>237</v>
      </c>
      <c r="C133" s="2" t="s">
        <v>238</v>
      </c>
    </row>
    <row r="134" spans="1:3" x14ac:dyDescent="0.4">
      <c r="A134" s="2" t="s">
        <v>302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EC5C-422B-4F5A-ACAA-E1DB4C528AF3}">
  <dimension ref="B2:G132"/>
  <sheetViews>
    <sheetView workbookViewId="0">
      <selection activeCell="C10" sqref="C10"/>
    </sheetView>
  </sheetViews>
  <sheetFormatPr defaultRowHeight="17.399999999999999" x14ac:dyDescent="0.4"/>
  <cols>
    <col min="2" max="2" width="23.5" bestFit="1" customWidth="1"/>
    <col min="3" max="3" width="53.5" bestFit="1" customWidth="1"/>
    <col min="4" max="4" width="16.8984375" bestFit="1" customWidth="1"/>
    <col min="7" max="7" width="23.69921875" bestFit="1" customWidth="1"/>
  </cols>
  <sheetData>
    <row r="2" spans="2:7" x14ac:dyDescent="0.4">
      <c r="B2" t="s">
        <v>276</v>
      </c>
      <c r="C2" t="s">
        <v>278</v>
      </c>
      <c r="D2" t="s">
        <v>1</v>
      </c>
      <c r="G2" t="s">
        <v>286</v>
      </c>
    </row>
    <row r="3" spans="2:7" x14ac:dyDescent="0.4">
      <c r="B3" s="4" t="s">
        <v>15</v>
      </c>
      <c r="C3" t="s">
        <v>16</v>
      </c>
      <c r="D3" t="s">
        <v>3</v>
      </c>
      <c r="G3" t="s">
        <v>291</v>
      </c>
    </row>
    <row r="4" spans="2:7" x14ac:dyDescent="0.4">
      <c r="B4" s="4" t="s">
        <v>17</v>
      </c>
      <c r="C4" t="s">
        <v>18</v>
      </c>
      <c r="D4" t="s">
        <v>3</v>
      </c>
      <c r="G4" t="s">
        <v>280</v>
      </c>
    </row>
    <row r="5" spans="2:7" x14ac:dyDescent="0.4">
      <c r="B5" s="4" t="s">
        <v>19</v>
      </c>
      <c r="C5" t="s">
        <v>20</v>
      </c>
      <c r="D5" t="s">
        <v>5</v>
      </c>
      <c r="G5" t="s">
        <v>281</v>
      </c>
    </row>
    <row r="6" spans="2:7" x14ac:dyDescent="0.4">
      <c r="B6" s="4" t="s">
        <v>21</v>
      </c>
      <c r="C6" t="s">
        <v>22</v>
      </c>
      <c r="D6" t="s">
        <v>279</v>
      </c>
      <c r="G6" t="s">
        <v>292</v>
      </c>
    </row>
    <row r="7" spans="2:7" x14ac:dyDescent="0.4">
      <c r="B7" s="4" t="s">
        <v>23</v>
      </c>
      <c r="C7" t="s">
        <v>24</v>
      </c>
      <c r="D7" t="s">
        <v>279</v>
      </c>
      <c r="G7" t="s">
        <v>293</v>
      </c>
    </row>
    <row r="8" spans="2:7" x14ac:dyDescent="0.4">
      <c r="B8" s="4" t="s">
        <v>25</v>
      </c>
      <c r="C8" t="s">
        <v>26</v>
      </c>
      <c r="D8" t="s">
        <v>280</v>
      </c>
      <c r="G8" t="s">
        <v>294</v>
      </c>
    </row>
    <row r="9" spans="2:7" x14ac:dyDescent="0.4">
      <c r="B9" s="4" t="s">
        <v>27</v>
      </c>
      <c r="C9" t="s">
        <v>28</v>
      </c>
      <c r="D9" t="s">
        <v>5</v>
      </c>
      <c r="G9" t="s">
        <v>295</v>
      </c>
    </row>
    <row r="10" spans="2:7" x14ac:dyDescent="0.4">
      <c r="B10" s="4" t="s">
        <v>29</v>
      </c>
      <c r="C10" t="s">
        <v>30</v>
      </c>
      <c r="D10" t="s">
        <v>5</v>
      </c>
      <c r="G10" t="s">
        <v>296</v>
      </c>
    </row>
    <row r="11" spans="2:7" x14ac:dyDescent="0.4">
      <c r="B11" s="4" t="s">
        <v>31</v>
      </c>
      <c r="C11" t="s">
        <v>32</v>
      </c>
      <c r="D11" t="s">
        <v>5</v>
      </c>
      <c r="G11" t="s">
        <v>284</v>
      </c>
    </row>
    <row r="12" spans="2:7" x14ac:dyDescent="0.4">
      <c r="B12" s="4" t="s">
        <v>33</v>
      </c>
      <c r="C12" t="s">
        <v>34</v>
      </c>
      <c r="D12" t="s">
        <v>280</v>
      </c>
      <c r="G12" t="s">
        <v>283</v>
      </c>
    </row>
    <row r="13" spans="2:7" x14ac:dyDescent="0.4">
      <c r="B13" s="4" t="s">
        <v>35</v>
      </c>
      <c r="C13" t="s">
        <v>36</v>
      </c>
      <c r="D13" t="s">
        <v>280</v>
      </c>
      <c r="G13" t="s">
        <v>287</v>
      </c>
    </row>
    <row r="14" spans="2:7" x14ac:dyDescent="0.4">
      <c r="B14" s="4" t="s">
        <v>37</v>
      </c>
      <c r="C14" t="s">
        <v>38</v>
      </c>
      <c r="D14" t="s">
        <v>289</v>
      </c>
      <c r="G14" t="s">
        <v>13</v>
      </c>
    </row>
    <row r="15" spans="2:7" x14ac:dyDescent="0.4">
      <c r="B15" s="4" t="s">
        <v>39</v>
      </c>
      <c r="C15" t="s">
        <v>40</v>
      </c>
      <c r="D15" t="s">
        <v>289</v>
      </c>
      <c r="G15" t="s">
        <v>298</v>
      </c>
    </row>
    <row r="16" spans="2:7" x14ac:dyDescent="0.4">
      <c r="B16" s="4" t="s">
        <v>41</v>
      </c>
      <c r="C16" t="s">
        <v>42</v>
      </c>
      <c r="D16" t="s">
        <v>289</v>
      </c>
    </row>
    <row r="17" spans="2:4" x14ac:dyDescent="0.4">
      <c r="B17" s="4" t="s">
        <v>43</v>
      </c>
      <c r="C17" t="s">
        <v>44</v>
      </c>
      <c r="D17" t="s">
        <v>289</v>
      </c>
    </row>
    <row r="18" spans="2:4" x14ac:dyDescent="0.4">
      <c r="B18" s="4" t="s">
        <v>45</v>
      </c>
      <c r="C18" t="s">
        <v>46</v>
      </c>
      <c r="D18" t="s">
        <v>5</v>
      </c>
    </row>
    <row r="19" spans="2:4" x14ac:dyDescent="0.4">
      <c r="B19" s="4" t="s">
        <v>47</v>
      </c>
      <c r="C19" t="s">
        <v>48</v>
      </c>
      <c r="D19" t="s">
        <v>279</v>
      </c>
    </row>
    <row r="20" spans="2:4" x14ac:dyDescent="0.4">
      <c r="B20" s="4" t="s">
        <v>49</v>
      </c>
      <c r="C20" t="s">
        <v>50</v>
      </c>
      <c r="D20" t="s">
        <v>280</v>
      </c>
    </row>
    <row r="21" spans="2:4" x14ac:dyDescent="0.4">
      <c r="B21" s="4" t="s">
        <v>51</v>
      </c>
      <c r="C21" t="s">
        <v>52</v>
      </c>
      <c r="D21" t="s">
        <v>280</v>
      </c>
    </row>
    <row r="22" spans="2:4" x14ac:dyDescent="0.4">
      <c r="B22" s="4" t="s">
        <v>53</v>
      </c>
      <c r="C22" t="s">
        <v>54</v>
      </c>
      <c r="D22" t="s">
        <v>280</v>
      </c>
    </row>
    <row r="23" spans="2:4" x14ac:dyDescent="0.4">
      <c r="B23" s="4" t="s">
        <v>55</v>
      </c>
      <c r="C23" t="s">
        <v>56</v>
      </c>
      <c r="D23" t="s">
        <v>280</v>
      </c>
    </row>
    <row r="24" spans="2:4" x14ac:dyDescent="0.4">
      <c r="B24" s="4" t="s">
        <v>57</v>
      </c>
      <c r="C24" t="s">
        <v>58</v>
      </c>
      <c r="D24" t="s">
        <v>294</v>
      </c>
    </row>
    <row r="25" spans="2:4" x14ac:dyDescent="0.4">
      <c r="B25" s="4" t="s">
        <v>59</v>
      </c>
      <c r="C25" t="s">
        <v>60</v>
      </c>
      <c r="D25" t="s">
        <v>290</v>
      </c>
    </row>
    <row r="26" spans="2:4" x14ac:dyDescent="0.4">
      <c r="B26" s="4" t="s">
        <v>61</v>
      </c>
      <c r="C26" t="s">
        <v>62</v>
      </c>
      <c r="D26" t="s">
        <v>5</v>
      </c>
    </row>
    <row r="27" spans="2:4" x14ac:dyDescent="0.4">
      <c r="B27" s="4" t="s">
        <v>63</v>
      </c>
      <c r="C27" t="s">
        <v>64</v>
      </c>
      <c r="D27" t="s">
        <v>5</v>
      </c>
    </row>
    <row r="28" spans="2:4" x14ac:dyDescent="0.4">
      <c r="B28" s="4" t="s">
        <v>65</v>
      </c>
      <c r="C28" t="s">
        <v>66</v>
      </c>
      <c r="D28" t="s">
        <v>5</v>
      </c>
    </row>
    <row r="29" spans="2:4" x14ac:dyDescent="0.4">
      <c r="B29" s="4" t="s">
        <v>67</v>
      </c>
      <c r="C29" t="s">
        <v>68</v>
      </c>
      <c r="D29" t="s">
        <v>295</v>
      </c>
    </row>
    <row r="30" spans="2:4" x14ac:dyDescent="0.4">
      <c r="B30" s="4" t="s">
        <v>69</v>
      </c>
      <c r="C30" t="s">
        <v>70</v>
      </c>
      <c r="D30" t="s">
        <v>295</v>
      </c>
    </row>
    <row r="31" spans="2:4" x14ac:dyDescent="0.4">
      <c r="B31" s="4" t="s">
        <v>71</v>
      </c>
      <c r="C31" t="s">
        <v>72</v>
      </c>
      <c r="D31" t="s">
        <v>295</v>
      </c>
    </row>
    <row r="32" spans="2:4" x14ac:dyDescent="0.4">
      <c r="B32" s="4" t="s">
        <v>73</v>
      </c>
      <c r="C32" t="s">
        <v>74</v>
      </c>
      <c r="D32" t="s">
        <v>295</v>
      </c>
    </row>
    <row r="33" spans="2:4" x14ac:dyDescent="0.4">
      <c r="B33" s="4" t="s">
        <v>75</v>
      </c>
      <c r="C33" t="s">
        <v>76</v>
      </c>
      <c r="D33" t="s">
        <v>295</v>
      </c>
    </row>
    <row r="34" spans="2:4" x14ac:dyDescent="0.4">
      <c r="B34" s="4" t="s">
        <v>77</v>
      </c>
      <c r="C34" t="s">
        <v>78</v>
      </c>
      <c r="D34" t="s">
        <v>295</v>
      </c>
    </row>
    <row r="35" spans="2:4" x14ac:dyDescent="0.4">
      <c r="B35" s="4" t="s">
        <v>79</v>
      </c>
      <c r="C35" t="s">
        <v>80</v>
      </c>
      <c r="D35" t="s">
        <v>281</v>
      </c>
    </row>
    <row r="36" spans="2:4" x14ac:dyDescent="0.4">
      <c r="B36" s="4" t="s">
        <v>81</v>
      </c>
      <c r="C36" t="s">
        <v>82</v>
      </c>
      <c r="D36" t="s">
        <v>295</v>
      </c>
    </row>
    <row r="37" spans="2:4" x14ac:dyDescent="0.4">
      <c r="B37" s="4" t="s">
        <v>83</v>
      </c>
      <c r="C37" t="s">
        <v>84</v>
      </c>
      <c r="D37" t="s">
        <v>282</v>
      </c>
    </row>
    <row r="38" spans="2:4" x14ac:dyDescent="0.4">
      <c r="B38" s="4" t="s">
        <v>85</v>
      </c>
      <c r="C38" t="s">
        <v>86</v>
      </c>
      <c r="D38" t="s">
        <v>283</v>
      </c>
    </row>
    <row r="39" spans="2:4" x14ac:dyDescent="0.4">
      <c r="B39" s="4" t="s">
        <v>87</v>
      </c>
      <c r="C39" t="s">
        <v>88</v>
      </c>
      <c r="D39" t="s">
        <v>5</v>
      </c>
    </row>
    <row r="40" spans="2:4" x14ac:dyDescent="0.4">
      <c r="B40" s="4" t="s">
        <v>89</v>
      </c>
      <c r="C40" t="s">
        <v>90</v>
      </c>
      <c r="D40" t="s">
        <v>279</v>
      </c>
    </row>
    <row r="41" spans="2:4" x14ac:dyDescent="0.4">
      <c r="B41" s="4" t="s">
        <v>91</v>
      </c>
      <c r="C41" t="s">
        <v>92</v>
      </c>
      <c r="D41" t="s">
        <v>284</v>
      </c>
    </row>
    <row r="42" spans="2:4" x14ac:dyDescent="0.4">
      <c r="B42" s="4" t="s">
        <v>93</v>
      </c>
      <c r="C42" t="s">
        <v>94</v>
      </c>
      <c r="D42" t="s">
        <v>284</v>
      </c>
    </row>
    <row r="43" spans="2:4" x14ac:dyDescent="0.4">
      <c r="B43" s="4" t="s">
        <v>95</v>
      </c>
      <c r="C43" t="s">
        <v>96</v>
      </c>
      <c r="D43" t="s">
        <v>284</v>
      </c>
    </row>
    <row r="44" spans="2:4" x14ac:dyDescent="0.4">
      <c r="B44" s="4" t="s">
        <v>97</v>
      </c>
      <c r="C44" t="s">
        <v>98</v>
      </c>
      <c r="D44" t="s">
        <v>284</v>
      </c>
    </row>
    <row r="45" spans="2:4" x14ac:dyDescent="0.4">
      <c r="B45" s="4" t="s">
        <v>99</v>
      </c>
      <c r="C45" t="s">
        <v>100</v>
      </c>
      <c r="D45" t="s">
        <v>284</v>
      </c>
    </row>
    <row r="46" spans="2:4" x14ac:dyDescent="0.4">
      <c r="B46" s="4" t="s">
        <v>101</v>
      </c>
      <c r="C46" t="s">
        <v>102</v>
      </c>
      <c r="D46" t="s">
        <v>284</v>
      </c>
    </row>
    <row r="47" spans="2:4" x14ac:dyDescent="0.4">
      <c r="B47" s="4" t="s">
        <v>103</v>
      </c>
      <c r="C47" t="s">
        <v>104</v>
      </c>
      <c r="D47" t="s">
        <v>285</v>
      </c>
    </row>
    <row r="48" spans="2:4" x14ac:dyDescent="0.4">
      <c r="B48" s="4" t="s">
        <v>105</v>
      </c>
      <c r="C48" t="s">
        <v>106</v>
      </c>
      <c r="D48" t="s">
        <v>294</v>
      </c>
    </row>
    <row r="49" spans="2:4" x14ac:dyDescent="0.4">
      <c r="B49" s="4" t="s">
        <v>107</v>
      </c>
      <c r="C49" t="s">
        <v>108</v>
      </c>
      <c r="D49" t="s">
        <v>294</v>
      </c>
    </row>
    <row r="50" spans="2:4" x14ac:dyDescent="0.4">
      <c r="B50" s="4" t="s">
        <v>109</v>
      </c>
      <c r="C50" t="s">
        <v>110</v>
      </c>
      <c r="D50" t="s">
        <v>294</v>
      </c>
    </row>
    <row r="51" spans="2:4" x14ac:dyDescent="0.4">
      <c r="B51" s="4" t="s">
        <v>111</v>
      </c>
      <c r="C51" t="s">
        <v>112</v>
      </c>
      <c r="D51" t="s">
        <v>294</v>
      </c>
    </row>
    <row r="52" spans="2:4" x14ac:dyDescent="0.4">
      <c r="B52" s="4" t="s">
        <v>113</v>
      </c>
      <c r="C52" t="s">
        <v>114</v>
      </c>
      <c r="D52" t="s">
        <v>294</v>
      </c>
    </row>
    <row r="53" spans="2:4" x14ac:dyDescent="0.4">
      <c r="B53" s="4" t="s">
        <v>115</v>
      </c>
      <c r="C53" t="s">
        <v>116</v>
      </c>
      <c r="D53" t="s">
        <v>294</v>
      </c>
    </row>
    <row r="54" spans="2:4" x14ac:dyDescent="0.4">
      <c r="B54" s="4" t="s">
        <v>117</v>
      </c>
      <c r="C54" t="s">
        <v>118</v>
      </c>
      <c r="D54" t="s">
        <v>294</v>
      </c>
    </row>
    <row r="55" spans="2:4" x14ac:dyDescent="0.4">
      <c r="B55" s="4" t="s">
        <v>119</v>
      </c>
      <c r="C55" t="s">
        <v>120</v>
      </c>
      <c r="D55" t="s">
        <v>282</v>
      </c>
    </row>
    <row r="56" spans="2:4" x14ac:dyDescent="0.4">
      <c r="B56" s="4" t="s">
        <v>121</v>
      </c>
      <c r="C56" t="s">
        <v>122</v>
      </c>
      <c r="D56" t="s">
        <v>280</v>
      </c>
    </row>
    <row r="57" spans="2:4" x14ac:dyDescent="0.4">
      <c r="B57" s="4" t="s">
        <v>123</v>
      </c>
      <c r="C57" t="s">
        <v>124</v>
      </c>
      <c r="D57" t="s">
        <v>280</v>
      </c>
    </row>
    <row r="58" spans="2:4" x14ac:dyDescent="0.4">
      <c r="B58" s="4" t="s">
        <v>125</v>
      </c>
      <c r="C58" t="s">
        <v>126</v>
      </c>
      <c r="D58" t="s">
        <v>280</v>
      </c>
    </row>
    <row r="59" spans="2:4" x14ac:dyDescent="0.4">
      <c r="B59" s="4" t="s">
        <v>127</v>
      </c>
      <c r="C59" t="s">
        <v>128</v>
      </c>
      <c r="D59" t="s">
        <v>293</v>
      </c>
    </row>
    <row r="60" spans="2:4" x14ac:dyDescent="0.4">
      <c r="B60" s="4" t="s">
        <v>129</v>
      </c>
      <c r="C60" t="s">
        <v>130</v>
      </c>
      <c r="D60" t="s">
        <v>293</v>
      </c>
    </row>
    <row r="61" spans="2:4" x14ac:dyDescent="0.4">
      <c r="B61" s="4" t="s">
        <v>131</v>
      </c>
      <c r="C61" t="s">
        <v>132</v>
      </c>
      <c r="D61" t="s">
        <v>293</v>
      </c>
    </row>
    <row r="62" spans="2:4" x14ac:dyDescent="0.4">
      <c r="B62" s="4" t="s">
        <v>133</v>
      </c>
      <c r="C62" t="s">
        <v>134</v>
      </c>
      <c r="D62" t="s">
        <v>293</v>
      </c>
    </row>
    <row r="63" spans="2:4" x14ac:dyDescent="0.4">
      <c r="B63" s="4" t="s">
        <v>135</v>
      </c>
      <c r="C63" t="s">
        <v>136</v>
      </c>
      <c r="D63" t="s">
        <v>293</v>
      </c>
    </row>
    <row r="64" spans="2:4" x14ac:dyDescent="0.4">
      <c r="B64" s="4" t="s">
        <v>137</v>
      </c>
      <c r="C64" t="s">
        <v>138</v>
      </c>
      <c r="D64" t="s">
        <v>293</v>
      </c>
    </row>
    <row r="65" spans="2:4" x14ac:dyDescent="0.4">
      <c r="B65" s="4" t="s">
        <v>139</v>
      </c>
      <c r="C65" t="s">
        <v>140</v>
      </c>
      <c r="D65" t="s">
        <v>293</v>
      </c>
    </row>
    <row r="66" spans="2:4" x14ac:dyDescent="0.4">
      <c r="B66" s="4" t="s">
        <v>141</v>
      </c>
      <c r="C66" t="s">
        <v>142</v>
      </c>
      <c r="D66" t="s">
        <v>293</v>
      </c>
    </row>
    <row r="67" spans="2:4" x14ac:dyDescent="0.4">
      <c r="B67" s="4" t="s">
        <v>143</v>
      </c>
      <c r="C67" t="s">
        <v>144</v>
      </c>
      <c r="D67" t="s">
        <v>293</v>
      </c>
    </row>
    <row r="68" spans="2:4" x14ac:dyDescent="0.4">
      <c r="B68" s="4" t="s">
        <v>145</v>
      </c>
      <c r="C68" t="s">
        <v>146</v>
      </c>
      <c r="D68" t="s">
        <v>293</v>
      </c>
    </row>
    <row r="69" spans="2:4" x14ac:dyDescent="0.4">
      <c r="B69" s="4" t="s">
        <v>147</v>
      </c>
      <c r="C69" t="s">
        <v>148</v>
      </c>
      <c r="D69" t="s">
        <v>293</v>
      </c>
    </row>
    <row r="70" spans="2:4" x14ac:dyDescent="0.4">
      <c r="B70" s="4" t="s">
        <v>149</v>
      </c>
      <c r="C70" t="s">
        <v>150</v>
      </c>
      <c r="D70" t="s">
        <v>293</v>
      </c>
    </row>
    <row r="71" spans="2:4" x14ac:dyDescent="0.4">
      <c r="B71" s="4" t="s">
        <v>151</v>
      </c>
      <c r="C71" t="s">
        <v>152</v>
      </c>
      <c r="D71" t="s">
        <v>293</v>
      </c>
    </row>
    <row r="72" spans="2:4" x14ac:dyDescent="0.4">
      <c r="B72" s="4" t="s">
        <v>153</v>
      </c>
      <c r="C72" t="s">
        <v>154</v>
      </c>
      <c r="D72" t="s">
        <v>292</v>
      </c>
    </row>
    <row r="73" spans="2:4" x14ac:dyDescent="0.4">
      <c r="B73" s="4" t="s">
        <v>155</v>
      </c>
      <c r="C73" t="s">
        <v>156</v>
      </c>
      <c r="D73" t="s">
        <v>292</v>
      </c>
    </row>
    <row r="74" spans="2:4" x14ac:dyDescent="0.4">
      <c r="B74" s="4" t="s">
        <v>157</v>
      </c>
      <c r="C74" t="s">
        <v>158</v>
      </c>
      <c r="D74" t="s">
        <v>292</v>
      </c>
    </row>
    <row r="75" spans="2:4" x14ac:dyDescent="0.4">
      <c r="B75" s="4" t="s">
        <v>159</v>
      </c>
      <c r="C75" t="s">
        <v>160</v>
      </c>
      <c r="D75" t="s">
        <v>292</v>
      </c>
    </row>
    <row r="76" spans="2:4" x14ac:dyDescent="0.4">
      <c r="B76" s="4" t="s">
        <v>161</v>
      </c>
      <c r="C76" t="s">
        <v>162</v>
      </c>
      <c r="D76" t="s">
        <v>292</v>
      </c>
    </row>
    <row r="77" spans="2:4" x14ac:dyDescent="0.4">
      <c r="B77" s="4" t="s">
        <v>163</v>
      </c>
      <c r="C77" t="s">
        <v>164</v>
      </c>
      <c r="D77" t="s">
        <v>292</v>
      </c>
    </row>
    <row r="78" spans="2:4" x14ac:dyDescent="0.4">
      <c r="B78" s="4" t="s">
        <v>165</v>
      </c>
      <c r="C78" t="s">
        <v>166</v>
      </c>
      <c r="D78" t="s">
        <v>292</v>
      </c>
    </row>
    <row r="79" spans="2:4" x14ac:dyDescent="0.4">
      <c r="B79" s="4" t="s">
        <v>167</v>
      </c>
      <c r="C79" t="s">
        <v>168</v>
      </c>
      <c r="D79" t="s">
        <v>292</v>
      </c>
    </row>
    <row r="80" spans="2:4" x14ac:dyDescent="0.4">
      <c r="B80" s="4" t="s">
        <v>169</v>
      </c>
      <c r="C80" t="s">
        <v>170</v>
      </c>
      <c r="D80" t="s">
        <v>292</v>
      </c>
    </row>
    <row r="81" spans="2:4" x14ac:dyDescent="0.4">
      <c r="B81" s="4" t="s">
        <v>171</v>
      </c>
      <c r="C81" t="s">
        <v>172</v>
      </c>
      <c r="D81" t="s">
        <v>292</v>
      </c>
    </row>
    <row r="82" spans="2:4" x14ac:dyDescent="0.4">
      <c r="B82" s="4" t="s">
        <v>173</v>
      </c>
      <c r="C82" t="s">
        <v>174</v>
      </c>
      <c r="D82" t="s">
        <v>292</v>
      </c>
    </row>
    <row r="83" spans="2:4" x14ac:dyDescent="0.4">
      <c r="B83" s="4" t="s">
        <v>175</v>
      </c>
      <c r="C83" t="s">
        <v>176</v>
      </c>
      <c r="D83" t="s">
        <v>292</v>
      </c>
    </row>
    <row r="84" spans="2:4" x14ac:dyDescent="0.4">
      <c r="B84" s="4" t="s">
        <v>177</v>
      </c>
      <c r="C84" t="s">
        <v>178</v>
      </c>
      <c r="D84" t="s">
        <v>292</v>
      </c>
    </row>
    <row r="85" spans="2:4" x14ac:dyDescent="0.4">
      <c r="B85" s="4" t="s">
        <v>179</v>
      </c>
      <c r="C85" t="s">
        <v>180</v>
      </c>
      <c r="D85" t="s">
        <v>292</v>
      </c>
    </row>
    <row r="86" spans="2:4" x14ac:dyDescent="0.4">
      <c r="B86" s="4" t="s">
        <v>181</v>
      </c>
      <c r="C86" s="5" t="s">
        <v>182</v>
      </c>
      <c r="D86" t="s">
        <v>292</v>
      </c>
    </row>
    <row r="87" spans="2:4" x14ac:dyDescent="0.4">
      <c r="B87" s="4" t="s">
        <v>183</v>
      </c>
      <c r="C87" t="s">
        <v>184</v>
      </c>
      <c r="D87" t="s">
        <v>292</v>
      </c>
    </row>
    <row r="88" spans="2:4" x14ac:dyDescent="0.4">
      <c r="B88" s="4" t="s">
        <v>185</v>
      </c>
      <c r="C88" t="s">
        <v>186</v>
      </c>
      <c r="D88" t="s">
        <v>292</v>
      </c>
    </row>
    <row r="89" spans="2:4" x14ac:dyDescent="0.4">
      <c r="B89" s="4" t="s">
        <v>187</v>
      </c>
      <c r="C89" t="s">
        <v>188</v>
      </c>
      <c r="D89" t="s">
        <v>292</v>
      </c>
    </row>
    <row r="90" spans="2:4" x14ac:dyDescent="0.4">
      <c r="B90" s="4" t="s">
        <v>189</v>
      </c>
      <c r="C90" t="s">
        <v>190</v>
      </c>
      <c r="D90" t="s">
        <v>292</v>
      </c>
    </row>
    <row r="91" spans="2:4" x14ac:dyDescent="0.4">
      <c r="B91" s="4" t="s">
        <v>191</v>
      </c>
      <c r="C91" t="s">
        <v>192</v>
      </c>
      <c r="D91" t="s">
        <v>292</v>
      </c>
    </row>
    <row r="92" spans="2:4" x14ac:dyDescent="0.4">
      <c r="B92" s="4" t="s">
        <v>193</v>
      </c>
      <c r="C92" t="s">
        <v>194</v>
      </c>
      <c r="D92" t="s">
        <v>292</v>
      </c>
    </row>
    <row r="93" spans="2:4" x14ac:dyDescent="0.4">
      <c r="B93" s="4" t="s">
        <v>195</v>
      </c>
      <c r="C93" t="s">
        <v>196</v>
      </c>
      <c r="D93" t="s">
        <v>292</v>
      </c>
    </row>
    <row r="94" spans="2:4" x14ac:dyDescent="0.4">
      <c r="B94" s="4" t="s">
        <v>197</v>
      </c>
      <c r="C94" t="s">
        <v>198</v>
      </c>
      <c r="D94" t="s">
        <v>286</v>
      </c>
    </row>
    <row r="95" spans="2:4" x14ac:dyDescent="0.4">
      <c r="B95" s="4" t="s">
        <v>199</v>
      </c>
      <c r="C95" t="s">
        <v>200</v>
      </c>
      <c r="D95" t="s">
        <v>286</v>
      </c>
    </row>
    <row r="96" spans="2:4" x14ac:dyDescent="0.4">
      <c r="B96" s="4" t="s">
        <v>201</v>
      </c>
      <c r="C96" t="s">
        <v>202</v>
      </c>
      <c r="D96" t="s">
        <v>281</v>
      </c>
    </row>
    <row r="97" spans="2:4" x14ac:dyDescent="0.4">
      <c r="B97" s="4" t="s">
        <v>203</v>
      </c>
      <c r="C97" t="s">
        <v>204</v>
      </c>
      <c r="D97" t="s">
        <v>281</v>
      </c>
    </row>
    <row r="98" spans="2:4" x14ac:dyDescent="0.4">
      <c r="B98" s="4" t="s">
        <v>205</v>
      </c>
      <c r="C98" t="s">
        <v>206</v>
      </c>
      <c r="D98" t="s">
        <v>281</v>
      </c>
    </row>
    <row r="99" spans="2:4" x14ac:dyDescent="0.4">
      <c r="B99" s="4" t="s">
        <v>207</v>
      </c>
      <c r="C99" t="s">
        <v>208</v>
      </c>
      <c r="D99" t="s">
        <v>281</v>
      </c>
    </row>
    <row r="100" spans="2:4" x14ac:dyDescent="0.4">
      <c r="B100" s="4" t="s">
        <v>209</v>
      </c>
      <c r="C100" t="s">
        <v>210</v>
      </c>
      <c r="D100" t="s">
        <v>281</v>
      </c>
    </row>
    <row r="101" spans="2:4" x14ac:dyDescent="0.4">
      <c r="B101" s="4" t="s">
        <v>211</v>
      </c>
      <c r="C101" t="s">
        <v>212</v>
      </c>
      <c r="D101" t="s">
        <v>281</v>
      </c>
    </row>
    <row r="102" spans="2:4" x14ac:dyDescent="0.4">
      <c r="B102" s="4" t="s">
        <v>213</v>
      </c>
      <c r="C102" t="s">
        <v>214</v>
      </c>
      <c r="D102" t="s">
        <v>281</v>
      </c>
    </row>
    <row r="103" spans="2:4" x14ac:dyDescent="0.4">
      <c r="B103" s="4" t="s">
        <v>215</v>
      </c>
      <c r="C103" t="s">
        <v>216</v>
      </c>
      <c r="D103" t="s">
        <v>298</v>
      </c>
    </row>
    <row r="104" spans="2:4" x14ac:dyDescent="0.4">
      <c r="B104" s="4" t="s">
        <v>217</v>
      </c>
      <c r="C104" t="s">
        <v>218</v>
      </c>
      <c r="D104" t="s">
        <v>287</v>
      </c>
    </row>
    <row r="105" spans="2:4" x14ac:dyDescent="0.4">
      <c r="B105" s="4" t="s">
        <v>219</v>
      </c>
      <c r="C105" t="s">
        <v>220</v>
      </c>
      <c r="D105" t="s">
        <v>298</v>
      </c>
    </row>
    <row r="106" spans="2:4" x14ac:dyDescent="0.4">
      <c r="B106" s="4" t="s">
        <v>221</v>
      </c>
      <c r="C106" t="s">
        <v>222</v>
      </c>
      <c r="D106" t="s">
        <v>288</v>
      </c>
    </row>
    <row r="107" spans="2:4" x14ac:dyDescent="0.4">
      <c r="B107" s="4" t="s">
        <v>223</v>
      </c>
      <c r="C107" t="s">
        <v>224</v>
      </c>
      <c r="D107" t="s">
        <v>298</v>
      </c>
    </row>
    <row r="108" spans="2:4" x14ac:dyDescent="0.4">
      <c r="B108" s="4" t="s">
        <v>225</v>
      </c>
      <c r="C108" t="s">
        <v>226</v>
      </c>
      <c r="D108" t="s">
        <v>298</v>
      </c>
    </row>
    <row r="109" spans="2:4" x14ac:dyDescent="0.4">
      <c r="B109" s="4" t="s">
        <v>227</v>
      </c>
      <c r="C109" t="s">
        <v>228</v>
      </c>
      <c r="D109" t="s">
        <v>298</v>
      </c>
    </row>
    <row r="110" spans="2:4" x14ac:dyDescent="0.4">
      <c r="B110" s="4" t="s">
        <v>229</v>
      </c>
      <c r="C110" t="s">
        <v>230</v>
      </c>
      <c r="D110" t="s">
        <v>298</v>
      </c>
    </row>
    <row r="111" spans="2:4" x14ac:dyDescent="0.4">
      <c r="B111" s="4" t="s">
        <v>231</v>
      </c>
      <c r="C111" t="s">
        <v>232</v>
      </c>
      <c r="D111" t="s">
        <v>298</v>
      </c>
    </row>
    <row r="112" spans="2:4" x14ac:dyDescent="0.4">
      <c r="B112" s="4" t="s">
        <v>233</v>
      </c>
      <c r="C112" t="s">
        <v>234</v>
      </c>
      <c r="D112" t="s">
        <v>283</v>
      </c>
    </row>
    <row r="113" spans="2:4" x14ac:dyDescent="0.4">
      <c r="B113" s="4" t="s">
        <v>235</v>
      </c>
      <c r="C113" t="s">
        <v>236</v>
      </c>
      <c r="D113" t="s">
        <v>290</v>
      </c>
    </row>
    <row r="114" spans="2:4" x14ac:dyDescent="0.4">
      <c r="B114" s="4" t="s">
        <v>237</v>
      </c>
      <c r="C114" t="s">
        <v>238</v>
      </c>
      <c r="D114" t="s">
        <v>13</v>
      </c>
    </row>
    <row r="115" spans="2:4" x14ac:dyDescent="0.4">
      <c r="B115" s="4" t="s">
        <v>239</v>
      </c>
      <c r="C115" t="s">
        <v>240</v>
      </c>
      <c r="D115" t="s">
        <v>287</v>
      </c>
    </row>
    <row r="116" spans="2:4" x14ac:dyDescent="0.4">
      <c r="B116" s="4" t="s">
        <v>241</v>
      </c>
      <c r="C116" t="s">
        <v>242</v>
      </c>
      <c r="D116" t="s">
        <v>287</v>
      </c>
    </row>
    <row r="117" spans="2:4" x14ac:dyDescent="0.4">
      <c r="B117" s="4" t="s">
        <v>243</v>
      </c>
      <c r="C117" t="s">
        <v>244</v>
      </c>
      <c r="D117" t="s">
        <v>11</v>
      </c>
    </row>
    <row r="118" spans="2:4" x14ac:dyDescent="0.4">
      <c r="B118" s="4" t="s">
        <v>245</v>
      </c>
      <c r="C118" t="s">
        <v>246</v>
      </c>
      <c r="D118" t="s">
        <v>298</v>
      </c>
    </row>
    <row r="119" spans="2:4" x14ac:dyDescent="0.4">
      <c r="B119" s="4" t="s">
        <v>247</v>
      </c>
      <c r="C119" t="s">
        <v>248</v>
      </c>
      <c r="D119" t="s">
        <v>295</v>
      </c>
    </row>
    <row r="120" spans="2:4" x14ac:dyDescent="0.4">
      <c r="B120" s="4" t="s">
        <v>249</v>
      </c>
      <c r="C120" t="s">
        <v>250</v>
      </c>
      <c r="D120" t="s">
        <v>295</v>
      </c>
    </row>
    <row r="121" spans="2:4" x14ac:dyDescent="0.4">
      <c r="B121" s="4" t="s">
        <v>251</v>
      </c>
      <c r="C121" t="s">
        <v>252</v>
      </c>
      <c r="D121" t="s">
        <v>295</v>
      </c>
    </row>
    <row r="122" spans="2:4" x14ac:dyDescent="0.4">
      <c r="B122" s="4" t="s">
        <v>253</v>
      </c>
      <c r="C122" t="s">
        <v>254</v>
      </c>
      <c r="D122" t="s">
        <v>298</v>
      </c>
    </row>
    <row r="123" spans="2:4" x14ac:dyDescent="0.4">
      <c r="B123" s="4" t="s">
        <v>255</v>
      </c>
      <c r="C123" t="s">
        <v>256</v>
      </c>
      <c r="D123" t="s">
        <v>283</v>
      </c>
    </row>
    <row r="124" spans="2:4" x14ac:dyDescent="0.4">
      <c r="B124" s="4" t="s">
        <v>257</v>
      </c>
      <c r="C124" t="s">
        <v>258</v>
      </c>
      <c r="D124" t="s">
        <v>283</v>
      </c>
    </row>
    <row r="125" spans="2:4" x14ac:dyDescent="0.4">
      <c r="B125" s="4" t="s">
        <v>259</v>
      </c>
      <c r="C125" t="s">
        <v>260</v>
      </c>
      <c r="D125" t="s">
        <v>283</v>
      </c>
    </row>
    <row r="126" spans="2:4" x14ac:dyDescent="0.4">
      <c r="B126" s="4" t="s">
        <v>261</v>
      </c>
      <c r="C126" t="s">
        <v>262</v>
      </c>
      <c r="D126" t="s">
        <v>283</v>
      </c>
    </row>
    <row r="127" spans="2:4" x14ac:dyDescent="0.4">
      <c r="B127" s="4" t="s">
        <v>263</v>
      </c>
      <c r="C127" t="s">
        <v>264</v>
      </c>
      <c r="D127" t="s">
        <v>283</v>
      </c>
    </row>
    <row r="128" spans="2:4" x14ac:dyDescent="0.4">
      <c r="B128" s="4" t="s">
        <v>265</v>
      </c>
      <c r="C128" t="s">
        <v>266</v>
      </c>
      <c r="D128" t="s">
        <v>279</v>
      </c>
    </row>
    <row r="129" spans="2:4" x14ac:dyDescent="0.4">
      <c r="B129" s="4" t="s">
        <v>267</v>
      </c>
      <c r="C129" t="s">
        <v>268</v>
      </c>
      <c r="D129" t="s">
        <v>279</v>
      </c>
    </row>
    <row r="130" spans="2:4" x14ac:dyDescent="0.4">
      <c r="B130" s="4" t="s">
        <v>269</v>
      </c>
      <c r="C130" t="s">
        <v>270</v>
      </c>
      <c r="D130" t="s">
        <v>298</v>
      </c>
    </row>
    <row r="131" spans="2:4" x14ac:dyDescent="0.4">
      <c r="B131" s="4" t="s">
        <v>271</v>
      </c>
      <c r="C131" t="s">
        <v>272</v>
      </c>
      <c r="D131" t="s">
        <v>298</v>
      </c>
    </row>
    <row r="132" spans="2:4" x14ac:dyDescent="0.4">
      <c r="B132" s="4" t="s">
        <v>273</v>
      </c>
      <c r="C132" t="s">
        <v>274</v>
      </c>
      <c r="D132" t="s">
        <v>287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E736-2505-4DAC-A05D-8D701B8673B4}">
  <dimension ref="B1:D15"/>
  <sheetViews>
    <sheetView workbookViewId="0">
      <selection activeCell="C12" sqref="C12"/>
    </sheetView>
  </sheetViews>
  <sheetFormatPr defaultRowHeight="17.399999999999999" x14ac:dyDescent="0.4"/>
  <cols>
    <col min="3" max="3" width="16.8984375" bestFit="1" customWidth="1"/>
  </cols>
  <sheetData>
    <row r="1" spans="2:4" ht="18" thickBot="1" x14ac:dyDescent="0.45"/>
    <row r="2" spans="2:4" ht="18" thickBot="1" x14ac:dyDescent="0.45">
      <c r="B2" t="s">
        <v>0</v>
      </c>
      <c r="C2" t="s">
        <v>1</v>
      </c>
      <c r="D2" s="1" t="s">
        <v>2</v>
      </c>
    </row>
    <row r="3" spans="2:4" ht="18" thickBot="1" x14ac:dyDescent="0.45">
      <c r="B3" s="2">
        <v>1</v>
      </c>
      <c r="C3" t="s">
        <v>290</v>
      </c>
      <c r="D3" s="1" t="s">
        <v>4</v>
      </c>
    </row>
    <row r="4" spans="2:4" ht="18" thickBot="1" x14ac:dyDescent="0.45">
      <c r="B4" s="2">
        <v>2</v>
      </c>
      <c r="C4" t="s">
        <v>313</v>
      </c>
      <c r="D4" s="1" t="s">
        <v>6</v>
      </c>
    </row>
    <row r="5" spans="2:4" ht="18" thickBot="1" x14ac:dyDescent="0.45">
      <c r="B5" s="2">
        <v>3</v>
      </c>
      <c r="C5" t="s">
        <v>319</v>
      </c>
      <c r="D5" s="1" t="s">
        <v>4</v>
      </c>
    </row>
    <row r="6" spans="2:4" ht="18" thickBot="1" x14ac:dyDescent="0.45">
      <c r="B6" s="2">
        <v>4</v>
      </c>
      <c r="C6" t="s">
        <v>320</v>
      </c>
      <c r="D6" s="1" t="s">
        <v>6</v>
      </c>
    </row>
    <row r="7" spans="2:4" ht="18" thickBot="1" x14ac:dyDescent="0.45">
      <c r="B7" s="2">
        <v>5</v>
      </c>
      <c r="C7" t="s">
        <v>293</v>
      </c>
      <c r="D7" s="1" t="s">
        <v>7</v>
      </c>
    </row>
    <row r="8" spans="2:4" ht="18" thickBot="1" x14ac:dyDescent="0.45">
      <c r="B8" s="2">
        <v>6</v>
      </c>
      <c r="C8" t="s">
        <v>312</v>
      </c>
      <c r="D8" s="1" t="s">
        <v>7</v>
      </c>
    </row>
    <row r="9" spans="2:4" ht="18" thickBot="1" x14ac:dyDescent="0.45">
      <c r="B9" s="2">
        <v>7</v>
      </c>
      <c r="C9" t="s">
        <v>9</v>
      </c>
      <c r="D9" s="1" t="s">
        <v>7</v>
      </c>
    </row>
    <row r="10" spans="2:4" ht="18" thickBot="1" x14ac:dyDescent="0.45">
      <c r="B10" s="2">
        <v>8</v>
      </c>
      <c r="C10" t="s">
        <v>10</v>
      </c>
      <c r="D10" s="1" t="s">
        <v>6</v>
      </c>
    </row>
    <row r="11" spans="2:4" ht="18" thickBot="1" x14ac:dyDescent="0.45">
      <c r="B11" s="2">
        <v>9</v>
      </c>
      <c r="C11" t="s">
        <v>11</v>
      </c>
      <c r="D11" s="1" t="s">
        <v>8</v>
      </c>
    </row>
    <row r="12" spans="2:4" ht="18" thickBot="1" x14ac:dyDescent="0.45">
      <c r="B12" s="2">
        <v>10</v>
      </c>
      <c r="C12" t="s">
        <v>14</v>
      </c>
      <c r="D12" s="3" t="s">
        <v>12</v>
      </c>
    </row>
    <row r="13" spans="2:4" ht="18" thickBot="1" x14ac:dyDescent="0.45">
      <c r="B13" s="2">
        <v>11</v>
      </c>
      <c r="C13" t="s">
        <v>289</v>
      </c>
      <c r="D13" s="1" t="s">
        <v>4</v>
      </c>
    </row>
    <row r="14" spans="2:4" ht="18" thickBot="1" x14ac:dyDescent="0.45">
      <c r="B14" s="2">
        <v>12</v>
      </c>
      <c r="C14" t="s">
        <v>295</v>
      </c>
      <c r="D14" s="1" t="s">
        <v>8</v>
      </c>
    </row>
    <row r="15" spans="2:4" ht="18" thickBot="1" x14ac:dyDescent="0.45">
      <c r="B15" s="2">
        <v>13</v>
      </c>
      <c r="C15" t="s">
        <v>321</v>
      </c>
      <c r="D15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List</vt:lpstr>
      <vt:lpstr>구분</vt:lpstr>
      <vt:lpstr>Program list</vt:lpstr>
      <vt:lpstr>담당자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재석 피</dc:creator>
  <cp:lastModifiedBy>재석 피</cp:lastModifiedBy>
  <dcterms:created xsi:type="dcterms:W3CDTF">2026-05-13T06:15:15Z</dcterms:created>
  <dcterms:modified xsi:type="dcterms:W3CDTF">2026-05-20T23:29:43Z</dcterms:modified>
</cp:coreProperties>
</file>